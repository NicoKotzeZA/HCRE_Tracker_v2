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OneDrive\Desktop\"/>
    </mc:Choice>
  </mc:AlternateContent>
  <xr:revisionPtr revIDLastSave="0" documentId="8_{46EF1058-3C10-40BB-8B82-37D26580D1AA}" xr6:coauthVersionLast="47" xr6:coauthVersionMax="47" xr10:uidLastSave="{00000000-0000-0000-0000-000000000000}"/>
  <bookViews>
    <workbookView xWindow="-108" yWindow="-108" windowWidth="23256" windowHeight="12576" xr2:uid="{839A430A-7484-411F-8082-BBAFA58E9ACA}"/>
  </bookViews>
  <sheets>
    <sheet name="Cash Flow Foreca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13" i="1" l="1"/>
  <c r="R113" i="1"/>
  <c r="Q113" i="1"/>
  <c r="D113" i="1" s="1"/>
  <c r="P113" i="1"/>
  <c r="O113" i="1"/>
  <c r="N113" i="1"/>
  <c r="M113" i="1"/>
  <c r="L113" i="1"/>
  <c r="K113" i="1"/>
  <c r="J113" i="1"/>
  <c r="I113" i="1"/>
  <c r="E113" i="1" s="1"/>
  <c r="H113" i="1"/>
  <c r="G113" i="1"/>
  <c r="S112" i="1"/>
  <c r="R112" i="1"/>
  <c r="Q112" i="1"/>
  <c r="D112" i="1" s="1"/>
  <c r="P112" i="1"/>
  <c r="O112" i="1"/>
  <c r="N112" i="1"/>
  <c r="M112" i="1"/>
  <c r="L112" i="1"/>
  <c r="K112" i="1"/>
  <c r="J112" i="1"/>
  <c r="I112" i="1"/>
  <c r="E112" i="1" s="1"/>
  <c r="H112" i="1"/>
  <c r="G112" i="1"/>
  <c r="S111" i="1"/>
  <c r="R111" i="1"/>
  <c r="Q111" i="1"/>
  <c r="D111" i="1" s="1"/>
  <c r="P111" i="1"/>
  <c r="O111" i="1"/>
  <c r="N111" i="1"/>
  <c r="M111" i="1"/>
  <c r="L111" i="1"/>
  <c r="K111" i="1"/>
  <c r="J111" i="1"/>
  <c r="I111" i="1"/>
  <c r="E111" i="1" s="1"/>
  <c r="H111" i="1"/>
  <c r="G111" i="1"/>
  <c r="S110" i="1"/>
  <c r="R110" i="1"/>
  <c r="Q110" i="1"/>
  <c r="D110" i="1" s="1"/>
  <c r="P110" i="1"/>
  <c r="O110" i="1"/>
  <c r="N110" i="1"/>
  <c r="M110" i="1"/>
  <c r="L110" i="1"/>
  <c r="K110" i="1"/>
  <c r="J110" i="1"/>
  <c r="I110" i="1"/>
  <c r="C110" i="1" s="1"/>
  <c r="H110" i="1"/>
  <c r="G110" i="1"/>
  <c r="E110" i="1" s="1"/>
  <c r="S109" i="1"/>
  <c r="R109" i="1"/>
  <c r="Q109" i="1"/>
  <c r="P109" i="1"/>
  <c r="O109" i="1"/>
  <c r="N109" i="1"/>
  <c r="M109" i="1"/>
  <c r="L109" i="1"/>
  <c r="D109" i="1" s="1"/>
  <c r="K109" i="1"/>
  <c r="J109" i="1"/>
  <c r="I109" i="1"/>
  <c r="C109" i="1" s="1"/>
  <c r="H109" i="1"/>
  <c r="G109" i="1"/>
  <c r="E109" i="1" s="1"/>
  <c r="S108" i="1"/>
  <c r="R108" i="1"/>
  <c r="Q108" i="1"/>
  <c r="P108" i="1"/>
  <c r="O108" i="1"/>
  <c r="N108" i="1"/>
  <c r="M108" i="1"/>
  <c r="L108" i="1"/>
  <c r="D108" i="1" s="1"/>
  <c r="K108" i="1"/>
  <c r="J108" i="1"/>
  <c r="I108" i="1"/>
  <c r="E108" i="1" s="1"/>
  <c r="H108" i="1"/>
  <c r="G108" i="1"/>
  <c r="S104" i="1"/>
  <c r="R104" i="1"/>
  <c r="Q104" i="1"/>
  <c r="P104" i="1"/>
  <c r="O104" i="1"/>
  <c r="D104" i="1" s="1"/>
  <c r="N104" i="1"/>
  <c r="M104" i="1"/>
  <c r="L104" i="1"/>
  <c r="K104" i="1"/>
  <c r="J104" i="1"/>
  <c r="I104" i="1"/>
  <c r="H104" i="1"/>
  <c r="G104" i="1"/>
  <c r="C104" i="1" s="1"/>
  <c r="S103" i="1"/>
  <c r="R103" i="1"/>
  <c r="Q103" i="1"/>
  <c r="P103" i="1"/>
  <c r="O103" i="1"/>
  <c r="D103" i="1" s="1"/>
  <c r="N103" i="1"/>
  <c r="M103" i="1"/>
  <c r="L103" i="1"/>
  <c r="K103" i="1"/>
  <c r="J103" i="1"/>
  <c r="I103" i="1"/>
  <c r="H103" i="1"/>
  <c r="G103" i="1"/>
  <c r="C103" i="1" s="1"/>
  <c r="S102" i="1"/>
  <c r="S105" i="1" s="1"/>
  <c r="R102" i="1"/>
  <c r="R105" i="1" s="1"/>
  <c r="Q102" i="1"/>
  <c r="Q105" i="1" s="1"/>
  <c r="P102" i="1"/>
  <c r="P105" i="1" s="1"/>
  <c r="O102" i="1"/>
  <c r="D102" i="1" s="1"/>
  <c r="N102" i="1"/>
  <c r="N105" i="1" s="1"/>
  <c r="M102" i="1"/>
  <c r="M105" i="1" s="1"/>
  <c r="L102" i="1"/>
  <c r="L105" i="1" s="1"/>
  <c r="K102" i="1"/>
  <c r="K105" i="1" s="1"/>
  <c r="J102" i="1"/>
  <c r="J105" i="1" s="1"/>
  <c r="I102" i="1"/>
  <c r="I105" i="1" s="1"/>
  <c r="H102" i="1"/>
  <c r="H105" i="1" s="1"/>
  <c r="G102" i="1"/>
  <c r="C102" i="1" s="1"/>
  <c r="G98" i="1"/>
  <c r="E97" i="1"/>
  <c r="D97" i="1"/>
  <c r="C97" i="1"/>
  <c r="E96" i="1"/>
  <c r="D96" i="1"/>
  <c r="C96" i="1"/>
  <c r="H95" i="1"/>
  <c r="H98" i="1" s="1"/>
  <c r="I95" i="1" s="1"/>
  <c r="I98" i="1" s="1"/>
  <c r="J95" i="1" s="1"/>
  <c r="J98" i="1" s="1"/>
  <c r="K95" i="1" s="1"/>
  <c r="K98" i="1" s="1"/>
  <c r="L95" i="1" s="1"/>
  <c r="L98" i="1" s="1"/>
  <c r="M95" i="1" s="1"/>
  <c r="M98" i="1" s="1"/>
  <c r="N95" i="1" s="1"/>
  <c r="N98" i="1" s="1"/>
  <c r="O95" i="1" s="1"/>
  <c r="O98" i="1" s="1"/>
  <c r="P95" i="1" s="1"/>
  <c r="P98" i="1" s="1"/>
  <c r="Q95" i="1" s="1"/>
  <c r="Q98" i="1" s="1"/>
  <c r="R95" i="1" s="1"/>
  <c r="R98" i="1" s="1"/>
  <c r="S95" i="1" s="1"/>
  <c r="S98" i="1" s="1"/>
  <c r="F98" i="1" s="1"/>
  <c r="E90" i="1"/>
  <c r="D90" i="1"/>
  <c r="C90" i="1"/>
  <c r="H88" i="1"/>
  <c r="G88" i="1"/>
  <c r="G91" i="1" s="1"/>
  <c r="H89" i="1" s="1"/>
  <c r="H91" i="1" s="1"/>
  <c r="I89" i="1" s="1"/>
  <c r="F87" i="1"/>
  <c r="H86" i="1"/>
  <c r="I83" i="1" s="1"/>
  <c r="G86" i="1"/>
  <c r="G92" i="1" s="1"/>
  <c r="E85" i="1"/>
  <c r="D85" i="1"/>
  <c r="C85" i="1"/>
  <c r="E84" i="1"/>
  <c r="D84" i="1"/>
  <c r="C84" i="1"/>
  <c r="H83" i="1"/>
  <c r="G79" i="1"/>
  <c r="H77" i="1" s="1"/>
  <c r="E78" i="1"/>
  <c r="D78" i="1"/>
  <c r="C78" i="1"/>
  <c r="G76" i="1"/>
  <c r="F75" i="1"/>
  <c r="G73" i="1"/>
  <c r="G74" i="1" s="1"/>
  <c r="E72" i="1"/>
  <c r="D72" i="1"/>
  <c r="C72" i="1"/>
  <c r="E71" i="1"/>
  <c r="D71" i="1"/>
  <c r="C71" i="1"/>
  <c r="H70" i="1"/>
  <c r="H73" i="1" s="1"/>
  <c r="E67" i="1"/>
  <c r="D67" i="1"/>
  <c r="C67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B61" i="1"/>
  <c r="F57" i="1"/>
  <c r="D57" i="1"/>
  <c r="E57" i="1" s="1"/>
  <c r="C57" i="1"/>
  <c r="F55" i="1"/>
  <c r="D55" i="1"/>
  <c r="E55" i="1" s="1"/>
  <c r="C55" i="1"/>
  <c r="F53" i="1"/>
  <c r="D53" i="1"/>
  <c r="E53" i="1" s="1"/>
  <c r="C53" i="1"/>
  <c r="F51" i="1"/>
  <c r="D51" i="1"/>
  <c r="C51" i="1"/>
  <c r="E51" i="1" s="1"/>
  <c r="F49" i="1"/>
  <c r="D49" i="1"/>
  <c r="E49" i="1" s="1"/>
  <c r="C49" i="1"/>
  <c r="F47" i="1"/>
  <c r="D47" i="1"/>
  <c r="C47" i="1"/>
  <c r="E47" i="1" s="1"/>
  <c r="F45" i="1"/>
  <c r="D45" i="1"/>
  <c r="E45" i="1" s="1"/>
  <c r="C45" i="1"/>
  <c r="D43" i="1"/>
  <c r="C43" i="1"/>
  <c r="E43" i="1" s="1"/>
  <c r="F43" i="1" s="1"/>
  <c r="F42" i="1"/>
  <c r="D42" i="1"/>
  <c r="E42" i="1" s="1"/>
  <c r="C42" i="1"/>
  <c r="D41" i="1"/>
  <c r="C41" i="1"/>
  <c r="E41" i="1" s="1"/>
  <c r="B41" i="1"/>
  <c r="F40" i="1"/>
  <c r="E40" i="1"/>
  <c r="D40" i="1"/>
  <c r="C40" i="1"/>
  <c r="S39" i="1"/>
  <c r="R39" i="1"/>
  <c r="Q39" i="1"/>
  <c r="P39" i="1"/>
  <c r="O39" i="1"/>
  <c r="N39" i="1"/>
  <c r="D39" i="1" s="1"/>
  <c r="M39" i="1"/>
  <c r="L39" i="1"/>
  <c r="K39" i="1"/>
  <c r="J39" i="1"/>
  <c r="I39" i="1"/>
  <c r="H39" i="1"/>
  <c r="G39" i="1"/>
  <c r="C39" i="1" s="1"/>
  <c r="B39" i="1"/>
  <c r="D37" i="1"/>
  <c r="C37" i="1"/>
  <c r="E37" i="1" s="1"/>
  <c r="F36" i="1"/>
  <c r="D36" i="1"/>
  <c r="C36" i="1"/>
  <c r="E36" i="1" s="1"/>
  <c r="E35" i="1"/>
  <c r="D35" i="1"/>
  <c r="C35" i="1"/>
  <c r="D34" i="1"/>
  <c r="E34" i="1" s="1"/>
  <c r="C34" i="1"/>
  <c r="D33" i="1"/>
  <c r="C33" i="1"/>
  <c r="E33" i="1" s="1"/>
  <c r="D32" i="1"/>
  <c r="C32" i="1"/>
  <c r="E32" i="1" s="1"/>
  <c r="F31" i="1"/>
  <c r="D31" i="1"/>
  <c r="C31" i="1"/>
  <c r="E31" i="1" s="1"/>
  <c r="S30" i="1"/>
  <c r="R30" i="1"/>
  <c r="Q30" i="1"/>
  <c r="P30" i="1"/>
  <c r="P61" i="1" s="1"/>
  <c r="P66" i="1" s="1"/>
  <c r="O30" i="1"/>
  <c r="O61" i="1" s="1"/>
  <c r="O66" i="1" s="1"/>
  <c r="N30" i="1"/>
  <c r="M30" i="1"/>
  <c r="L30" i="1"/>
  <c r="K30" i="1"/>
  <c r="D30" i="1" s="1"/>
  <c r="J30" i="1"/>
  <c r="I30" i="1"/>
  <c r="H30" i="1"/>
  <c r="H61" i="1" s="1"/>
  <c r="H66" i="1" s="1"/>
  <c r="G30" i="1"/>
  <c r="B30" i="1"/>
  <c r="F28" i="1"/>
  <c r="D28" i="1"/>
  <c r="E28" i="1" s="1"/>
  <c r="C28" i="1"/>
  <c r="F27" i="1"/>
  <c r="D27" i="1"/>
  <c r="C27" i="1"/>
  <c r="E27" i="1" s="1"/>
  <c r="F26" i="1"/>
  <c r="D26" i="1"/>
  <c r="E26" i="1" s="1"/>
  <c r="C26" i="1"/>
  <c r="F25" i="1"/>
  <c r="D25" i="1"/>
  <c r="C25" i="1"/>
  <c r="E25" i="1" s="1"/>
  <c r="S24" i="1"/>
  <c r="R24" i="1"/>
  <c r="Q24" i="1"/>
  <c r="P24" i="1"/>
  <c r="O24" i="1"/>
  <c r="N24" i="1"/>
  <c r="M24" i="1"/>
  <c r="L24" i="1"/>
  <c r="K24" i="1"/>
  <c r="D24" i="1" s="1"/>
  <c r="J24" i="1"/>
  <c r="I24" i="1"/>
  <c r="H24" i="1"/>
  <c r="G24" i="1"/>
  <c r="C24" i="1" s="1"/>
  <c r="B24" i="1"/>
  <c r="F22" i="1"/>
  <c r="D22" i="1"/>
  <c r="C22" i="1"/>
  <c r="E22" i="1" s="1"/>
  <c r="B22" i="1"/>
  <c r="B18" i="1" s="1"/>
  <c r="F21" i="1"/>
  <c r="D21" i="1"/>
  <c r="C21" i="1"/>
  <c r="E21" i="1" s="1"/>
  <c r="F20" i="1"/>
  <c r="D20" i="1"/>
  <c r="C20" i="1"/>
  <c r="E20" i="1" s="1"/>
  <c r="F19" i="1"/>
  <c r="D19" i="1"/>
  <c r="C19" i="1"/>
  <c r="E19" i="1" s="1"/>
  <c r="S18" i="1"/>
  <c r="R18" i="1"/>
  <c r="Q18" i="1"/>
  <c r="P18" i="1"/>
  <c r="O18" i="1"/>
  <c r="N18" i="1"/>
  <c r="M18" i="1"/>
  <c r="L18" i="1"/>
  <c r="K18" i="1"/>
  <c r="J18" i="1"/>
  <c r="I18" i="1"/>
  <c r="H18" i="1"/>
  <c r="C18" i="1" s="1"/>
  <c r="E18" i="1" s="1"/>
  <c r="G18" i="1"/>
  <c r="D18" i="1"/>
  <c r="F17" i="1"/>
  <c r="E17" i="1"/>
  <c r="D17" i="1"/>
  <c r="C17" i="1"/>
  <c r="E16" i="1"/>
  <c r="F16" i="1" s="1"/>
  <c r="D16" i="1"/>
  <c r="C16" i="1"/>
  <c r="E15" i="1"/>
  <c r="F15" i="1" s="1"/>
  <c r="D15" i="1"/>
  <c r="C15" i="1"/>
  <c r="E14" i="1"/>
  <c r="F14" i="1" s="1"/>
  <c r="D14" i="1"/>
  <c r="C14" i="1"/>
  <c r="H13" i="1"/>
  <c r="D13" i="1"/>
  <c r="C13" i="1"/>
  <c r="E13" i="1" s="1"/>
  <c r="F13" i="1" s="1"/>
  <c r="S12" i="1"/>
  <c r="S61" i="1" s="1"/>
  <c r="S66" i="1" s="1"/>
  <c r="R12" i="1"/>
  <c r="R61" i="1" s="1"/>
  <c r="R66" i="1" s="1"/>
  <c r="Q12" i="1"/>
  <c r="Q61" i="1" s="1"/>
  <c r="Q66" i="1" s="1"/>
  <c r="P12" i="1"/>
  <c r="O12" i="1"/>
  <c r="N12" i="1"/>
  <c r="N61" i="1" s="1"/>
  <c r="N66" i="1" s="1"/>
  <c r="M12" i="1"/>
  <c r="M61" i="1" s="1"/>
  <c r="M66" i="1" s="1"/>
  <c r="L12" i="1"/>
  <c r="L61" i="1" s="1"/>
  <c r="L66" i="1" s="1"/>
  <c r="K12" i="1"/>
  <c r="J12" i="1"/>
  <c r="J61" i="1" s="1"/>
  <c r="J66" i="1" s="1"/>
  <c r="I12" i="1"/>
  <c r="I61" i="1" s="1"/>
  <c r="I66" i="1" s="1"/>
  <c r="H12" i="1"/>
  <c r="G12" i="1"/>
  <c r="C12" i="1"/>
  <c r="B12" i="1"/>
  <c r="S11" i="1"/>
  <c r="S65" i="1" s="1"/>
  <c r="R11" i="1"/>
  <c r="R65" i="1" s="1"/>
  <c r="Q11" i="1"/>
  <c r="Q65" i="1" s="1"/>
  <c r="P11" i="1"/>
  <c r="P65" i="1" s="1"/>
  <c r="O11" i="1"/>
  <c r="O65" i="1" s="1"/>
  <c r="N11" i="1"/>
  <c r="N65" i="1" s="1"/>
  <c r="M11" i="1"/>
  <c r="M65" i="1" s="1"/>
  <c r="L11" i="1"/>
  <c r="L65" i="1" s="1"/>
  <c r="K11" i="1"/>
  <c r="K65" i="1" s="1"/>
  <c r="J11" i="1"/>
  <c r="J65" i="1" s="1"/>
  <c r="I11" i="1"/>
  <c r="I65" i="1" s="1"/>
  <c r="H11" i="1"/>
  <c r="H65" i="1" s="1"/>
  <c r="G11" i="1"/>
  <c r="G65" i="1" s="1"/>
  <c r="S9" i="1"/>
  <c r="R9" i="1"/>
  <c r="Q9" i="1"/>
  <c r="P9" i="1"/>
  <c r="O9" i="1"/>
  <c r="N9" i="1"/>
  <c r="M9" i="1"/>
  <c r="L9" i="1"/>
  <c r="K9" i="1"/>
  <c r="J9" i="1"/>
  <c r="C9" i="1" s="1"/>
  <c r="I9" i="1"/>
  <c r="H9" i="1"/>
  <c r="F9" i="1"/>
  <c r="F8" i="1"/>
  <c r="E8" i="1"/>
  <c r="D8" i="1"/>
  <c r="C8" i="1"/>
  <c r="E7" i="1"/>
  <c r="D7" i="1"/>
  <c r="C7" i="1"/>
  <c r="B7" i="1"/>
  <c r="F7" i="1" s="1"/>
  <c r="A2" i="1"/>
  <c r="O107" i="1" l="1"/>
  <c r="O114" i="1" s="1"/>
  <c r="O68" i="1"/>
  <c r="L107" i="1"/>
  <c r="L114" i="1" s="1"/>
  <c r="L68" i="1"/>
  <c r="M107" i="1"/>
  <c r="M114" i="1" s="1"/>
  <c r="M68" i="1"/>
  <c r="E12" i="1"/>
  <c r="F12" i="1" s="1"/>
  <c r="F24" i="1"/>
  <c r="E24" i="1"/>
  <c r="I88" i="1"/>
  <c r="I86" i="1"/>
  <c r="D9" i="1"/>
  <c r="E9" i="1" s="1"/>
  <c r="I107" i="1"/>
  <c r="I114" i="1" s="1"/>
  <c r="I68" i="1"/>
  <c r="Q107" i="1"/>
  <c r="Q114" i="1" s="1"/>
  <c r="Q68" i="1"/>
  <c r="F30" i="1"/>
  <c r="J68" i="1"/>
  <c r="J107" i="1"/>
  <c r="J114" i="1" s="1"/>
  <c r="R68" i="1"/>
  <c r="R107" i="1"/>
  <c r="R114" i="1" s="1"/>
  <c r="G61" i="1"/>
  <c r="C30" i="1"/>
  <c r="E30" i="1" s="1"/>
  <c r="E39" i="1"/>
  <c r="F39" i="1" s="1"/>
  <c r="H74" i="1"/>
  <c r="I70" i="1"/>
  <c r="I91" i="1"/>
  <c r="J89" i="1" s="1"/>
  <c r="N107" i="1"/>
  <c r="N114" i="1" s="1"/>
  <c r="N68" i="1"/>
  <c r="K61" i="1"/>
  <c r="D12" i="1"/>
  <c r="S68" i="1"/>
  <c r="S107" i="1"/>
  <c r="S114" i="1" s="1"/>
  <c r="F18" i="1"/>
  <c r="H68" i="1"/>
  <c r="H107" i="1"/>
  <c r="H114" i="1" s="1"/>
  <c r="P68" i="1"/>
  <c r="P107" i="1"/>
  <c r="P114" i="1" s="1"/>
  <c r="F41" i="1"/>
  <c r="G105" i="1"/>
  <c r="G80" i="1"/>
  <c r="E102" i="1"/>
  <c r="E103" i="1"/>
  <c r="E104" i="1"/>
  <c r="C108" i="1"/>
  <c r="C111" i="1"/>
  <c r="C112" i="1"/>
  <c r="C113" i="1"/>
  <c r="H92" i="1"/>
  <c r="H76" i="1"/>
  <c r="O105" i="1"/>
  <c r="D105" i="1" s="1"/>
  <c r="I76" i="1" l="1"/>
  <c r="I73" i="1"/>
  <c r="J83" i="1"/>
  <c r="I92" i="1"/>
  <c r="G106" i="1"/>
  <c r="C105" i="1"/>
  <c r="E105" i="1"/>
  <c r="K66" i="1"/>
  <c r="D61" i="1"/>
  <c r="C61" i="1"/>
  <c r="E61" i="1" s="1"/>
  <c r="F61" i="1" s="1"/>
  <c r="G66" i="1"/>
  <c r="H79" i="1"/>
  <c r="I77" i="1" l="1"/>
  <c r="I79" i="1" s="1"/>
  <c r="J77" i="1" s="1"/>
  <c r="H80" i="1"/>
  <c r="J88" i="1"/>
  <c r="J86" i="1"/>
  <c r="D66" i="1"/>
  <c r="K107" i="1"/>
  <c r="K68" i="1"/>
  <c r="D68" i="1" s="1"/>
  <c r="I74" i="1"/>
  <c r="J70" i="1"/>
  <c r="I80" i="1"/>
  <c r="G107" i="1"/>
  <c r="G68" i="1"/>
  <c r="C66" i="1"/>
  <c r="E66" i="1"/>
  <c r="D107" i="1" l="1"/>
  <c r="K114" i="1"/>
  <c r="D114" i="1" s="1"/>
  <c r="K83" i="1"/>
  <c r="E68" i="1"/>
  <c r="C68" i="1"/>
  <c r="G114" i="1"/>
  <c r="E107" i="1"/>
  <c r="C107" i="1"/>
  <c r="C88" i="1"/>
  <c r="J91" i="1"/>
  <c r="K89" i="1" s="1"/>
  <c r="J73" i="1"/>
  <c r="J76" i="1"/>
  <c r="J74" i="1" l="1"/>
  <c r="K70" i="1"/>
  <c r="C76" i="1"/>
  <c r="J92" i="1"/>
  <c r="E114" i="1"/>
  <c r="C114" i="1"/>
  <c r="G115" i="1"/>
  <c r="K88" i="1"/>
  <c r="K91" i="1" s="1"/>
  <c r="L89" i="1" s="1"/>
  <c r="K86" i="1"/>
  <c r="J79" i="1"/>
  <c r="K77" i="1" s="1"/>
  <c r="J80" i="1" l="1"/>
  <c r="K92" i="1"/>
  <c r="L83" i="1"/>
  <c r="H101" i="1"/>
  <c r="H106" i="1" s="1"/>
  <c r="H115" i="1" s="1"/>
  <c r="G116" i="1"/>
  <c r="K76" i="1"/>
  <c r="K73" i="1"/>
  <c r="H116" i="1" l="1"/>
  <c r="I101" i="1"/>
  <c r="I106" i="1" s="1"/>
  <c r="I115" i="1" s="1"/>
  <c r="L88" i="1"/>
  <c r="L86" i="1"/>
  <c r="L70" i="1"/>
  <c r="K74" i="1"/>
  <c r="K79" i="1"/>
  <c r="L77" i="1" s="1"/>
  <c r="K80" i="1" l="1"/>
  <c r="L91" i="1"/>
  <c r="M89" i="1" s="1"/>
  <c r="L76" i="1"/>
  <c r="L73" i="1"/>
  <c r="L92" i="1"/>
  <c r="M83" i="1"/>
  <c r="I116" i="1"/>
  <c r="J101" i="1"/>
  <c r="J106" i="1" s="1"/>
  <c r="J115" i="1" s="1"/>
  <c r="M88" i="1" l="1"/>
  <c r="M91" i="1" s="1"/>
  <c r="N89" i="1" s="1"/>
  <c r="M86" i="1"/>
  <c r="L74" i="1"/>
  <c r="L80" i="1"/>
  <c r="M70" i="1"/>
  <c r="J116" i="1"/>
  <c r="K101" i="1"/>
  <c r="K106" i="1" s="1"/>
  <c r="K115" i="1" s="1"/>
  <c r="L79" i="1"/>
  <c r="M77" i="1" s="1"/>
  <c r="K116" i="1" l="1"/>
  <c r="L101" i="1"/>
  <c r="L106" i="1" s="1"/>
  <c r="L115" i="1" s="1"/>
  <c r="M73" i="1"/>
  <c r="M76" i="1"/>
  <c r="N83" i="1"/>
  <c r="M92" i="1"/>
  <c r="N86" i="1" l="1"/>
  <c r="N88" i="1"/>
  <c r="M74" i="1"/>
  <c r="N70" i="1"/>
  <c r="M79" i="1"/>
  <c r="N77" i="1" s="1"/>
  <c r="M101" i="1"/>
  <c r="M106" i="1" s="1"/>
  <c r="M115" i="1" s="1"/>
  <c r="L116" i="1"/>
  <c r="O83" i="1" l="1"/>
  <c r="N101" i="1"/>
  <c r="N106" i="1" s="1"/>
  <c r="N115" i="1" s="1"/>
  <c r="M116" i="1"/>
  <c r="N73" i="1"/>
  <c r="N76" i="1"/>
  <c r="N79" i="1" s="1"/>
  <c r="O77" i="1" s="1"/>
  <c r="M80" i="1"/>
  <c r="N91" i="1"/>
  <c r="O89" i="1" s="1"/>
  <c r="N80" i="1" l="1"/>
  <c r="N74" i="1"/>
  <c r="O70" i="1"/>
  <c r="O101" i="1"/>
  <c r="O106" i="1" s="1"/>
  <c r="O115" i="1" s="1"/>
  <c r="N116" i="1"/>
  <c r="N92" i="1"/>
  <c r="O86" i="1"/>
  <c r="O88" i="1"/>
  <c r="O91" i="1" s="1"/>
  <c r="P89" i="1" s="1"/>
  <c r="P83" i="1" l="1"/>
  <c r="O92" i="1"/>
  <c r="O116" i="1"/>
  <c r="P101" i="1"/>
  <c r="P106" i="1" s="1"/>
  <c r="P115" i="1" s="1"/>
  <c r="O73" i="1"/>
  <c r="O76" i="1"/>
  <c r="O79" i="1" s="1"/>
  <c r="P77" i="1" s="1"/>
  <c r="O74" i="1" l="1"/>
  <c r="P70" i="1"/>
  <c r="O80" i="1"/>
  <c r="P116" i="1"/>
  <c r="Q101" i="1"/>
  <c r="Q106" i="1" s="1"/>
  <c r="Q115" i="1" s="1"/>
  <c r="P86" i="1"/>
  <c r="P88" i="1"/>
  <c r="P91" i="1" s="1"/>
  <c r="Q89" i="1" s="1"/>
  <c r="Q83" i="1" l="1"/>
  <c r="P92" i="1"/>
  <c r="P73" i="1"/>
  <c r="P76" i="1"/>
  <c r="P79" i="1" s="1"/>
  <c r="Q77" i="1" s="1"/>
  <c r="Q116" i="1"/>
  <c r="R101" i="1"/>
  <c r="R106" i="1" s="1"/>
  <c r="R115" i="1" s="1"/>
  <c r="R116" i="1" l="1"/>
  <c r="S101" i="1"/>
  <c r="Q86" i="1"/>
  <c r="Q88" i="1"/>
  <c r="Q91" i="1" s="1"/>
  <c r="R89" i="1" s="1"/>
  <c r="P80" i="1"/>
  <c r="P74" i="1"/>
  <c r="Q70" i="1"/>
  <c r="S106" i="1" l="1"/>
  <c r="F101" i="1"/>
  <c r="Q76" i="1"/>
  <c r="Q79" i="1" s="1"/>
  <c r="R77" i="1" s="1"/>
  <c r="Q73" i="1"/>
  <c r="R83" i="1"/>
  <c r="Q92" i="1"/>
  <c r="Q74" i="1" l="1"/>
  <c r="Q80" i="1"/>
  <c r="R70" i="1"/>
  <c r="F106" i="1"/>
  <c r="S115" i="1"/>
  <c r="R88" i="1"/>
  <c r="R91" i="1" s="1"/>
  <c r="S89" i="1" s="1"/>
  <c r="R86" i="1"/>
  <c r="R92" i="1" l="1"/>
  <c r="S83" i="1"/>
  <c r="S116" i="1"/>
  <c r="F116" i="1" s="1"/>
  <c r="F115" i="1"/>
  <c r="R76" i="1"/>
  <c r="R79" i="1" s="1"/>
  <c r="S77" i="1" s="1"/>
  <c r="R73" i="1"/>
  <c r="R74" i="1" l="1"/>
  <c r="S70" i="1"/>
  <c r="R80" i="1"/>
  <c r="S88" i="1"/>
  <c r="S86" i="1"/>
  <c r="F86" i="1" l="1"/>
  <c r="E88" i="1"/>
  <c r="D88" i="1"/>
  <c r="S91" i="1"/>
  <c r="F91" i="1" s="1"/>
  <c r="S73" i="1"/>
  <c r="S76" i="1"/>
  <c r="E76" i="1" l="1"/>
  <c r="D76" i="1"/>
  <c r="S79" i="1"/>
  <c r="F79" i="1" s="1"/>
  <c r="F73" i="1"/>
  <c r="S80" i="1"/>
  <c r="F80" i="1" s="1"/>
  <c r="S74" i="1"/>
  <c r="F74" i="1" s="1"/>
  <c r="S92" i="1"/>
  <c r="F92" i="1" s="1"/>
</calcChain>
</file>

<file path=xl/sharedStrings.xml><?xml version="1.0" encoding="utf-8"?>
<sst xmlns="http://schemas.openxmlformats.org/spreadsheetml/2006/main" count="145" uniqueCount="115">
  <si>
    <t>PROJECT BUDGET - HCRE WELLNESS CENTER</t>
  </si>
  <si>
    <t>Category / Sub-category</t>
  </si>
  <si>
    <t>Type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</si>
  <si>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</si>
  <si>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</si>
  <si>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</si>
  <si>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</si>
  <si>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</si>
  <si>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</si>
  <si>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</si>
  <si>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</si>
  <si>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</si>
  <si>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</si>
  <si>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</si>
  <si>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</si>
  <si>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REVENUE</t>
  </si>
  <si>
    <t>Budget</t>
  </si>
  <si>
    <t>Total to Date</t>
  </si>
  <si>
    <t>Cost To Complete</t>
  </si>
  <si>
    <t>Revised Budget</t>
  </si>
  <si>
    <t>Variance</t>
  </si>
  <si>
    <t>Actual</t>
  </si>
  <si>
    <t>Forecast</t>
  </si>
  <si>
    <t>Life Right deposits received</t>
  </si>
  <si>
    <t>Other income</t>
  </si>
  <si>
    <t>Total Revenue</t>
  </si>
  <si>
    <t>Total</t>
  </si>
  <si>
    <t>PROJECT COSTS</t>
  </si>
  <si>
    <t>Professional fees – Architect (Elise / Leanor)</t>
  </si>
  <si>
    <t xml:space="preserve"> - Designs &amp; 3D renders (ARC wellness 1)</t>
  </si>
  <si>
    <t xml:space="preserve"> - Designs &amp; 3D renders (ARC wellness 2)</t>
  </si>
  <si>
    <t xml:space="preserve"> - Designs - layouts, site plan, elevaltions, artist impressions ( ARC BKA 1)</t>
  </si>
  <si>
    <t xml:space="preserve"> - Municiple drawing preperation &amp; Approval (LVG 10)</t>
  </si>
  <si>
    <t>Professional fees – Engineer</t>
  </si>
  <si>
    <t xml:space="preserve"> - Civil Engineer</t>
  </si>
  <si>
    <t xml:space="preserve"> - Structural Engineer</t>
  </si>
  <si>
    <t xml:space="preserve"> - Electrical / Mechanical Engineer</t>
  </si>
  <si>
    <t xml:space="preserve"> - - Johan Erwee (3147)</t>
  </si>
  <si>
    <t>Professional fees – Other</t>
  </si>
  <si>
    <t xml:space="preserve"> - Land Surveyor</t>
  </si>
  <si>
    <t xml:space="preserve"> - Attorney</t>
  </si>
  <si>
    <t xml:space="preserve"> - Auditors</t>
  </si>
  <si>
    <t xml:space="preserve"> - PM</t>
  </si>
  <si>
    <t>Municipal fees &amp; contributions</t>
  </si>
  <si>
    <t xml:space="preserve"> - NHBRC</t>
  </si>
  <si>
    <t xml:space="preserve"> - Plann Approval</t>
  </si>
  <si>
    <t xml:space="preserve"> - Sewage</t>
  </si>
  <si>
    <t xml:space="preserve"> - Water</t>
  </si>
  <si>
    <t xml:space="preserve"> - Electrical</t>
  </si>
  <si>
    <t xml:space="preserve">  -Storm Water</t>
  </si>
  <si>
    <t xml:space="preserve"> - Rates and Taxes</t>
  </si>
  <si>
    <t>Site preparation &amp; earthworks</t>
  </si>
  <si>
    <t xml:space="preserve"> - Site Clearance</t>
  </si>
  <si>
    <t xml:space="preserve"> - Fencing</t>
  </si>
  <si>
    <t xml:space="preserve"> - Security</t>
  </si>
  <si>
    <t xml:space="preserve"> - Casual Labour</t>
  </si>
  <si>
    <t>External infrastructure</t>
  </si>
  <si>
    <t>Internal infrastructure &amp; parking</t>
  </si>
  <si>
    <t>Top structures – Units</t>
  </si>
  <si>
    <t>Top structures – Wellness Centre</t>
  </si>
  <si>
    <t>FF&amp;E</t>
  </si>
  <si>
    <t>Marketing &amp; sales costs</t>
  </si>
  <si>
    <t>Company Administrative Cost</t>
  </si>
  <si>
    <t>Contingency</t>
  </si>
  <si>
    <t>Total Project Costs</t>
  </si>
  <si>
    <t>FUNDING SOURCES, DEBT BALANCES &amp; CASH RECONCILIATION</t>
  </si>
  <si>
    <t>Period</t>
  </si>
  <si>
    <t>Input / note</t>
  </si>
  <si>
    <t>Closing / check</t>
  </si>
  <si>
    <t>Status</t>
  </si>
  <si>
    <t>Grey cells = formula</t>
  </si>
  <si>
    <t>Yellow cells = input</t>
  </si>
  <si>
    <t>Project costs (linked)</t>
  </si>
  <si>
    <t>Manual cost adjustment</t>
  </si>
  <si>
    <t>Total cash requirement</t>
  </si>
  <si>
    <t>RMH MEZZANINE</t>
  </si>
  <si>
    <t>Capital facility</t>
  </si>
  <si>
    <t>Interest capitalised separately</t>
  </si>
  <si>
    <t>Opening capital balance</t>
  </si>
  <si>
    <t>Capital utilisation / drawdown</t>
  </si>
  <si>
    <t>Capital repayments</t>
  </si>
  <si>
    <t>Closing capital balance</t>
  </si>
  <si>
    <t>Remaining capital facility</t>
  </si>
  <si>
    <t>Interest rate p.a.</t>
  </si>
  <si>
    <t>Interest charged for month</t>
  </si>
  <si>
    <t>Opening interest balance</t>
  </si>
  <si>
    <t>Interest repayments</t>
  </si>
  <si>
    <t>Closing interest balance</t>
  </si>
  <si>
    <t>Total RMH balance</t>
  </si>
  <si>
    <t>OTHER DEBT</t>
  </si>
  <si>
    <t>Opening balances entered in first month</t>
  </si>
  <si>
    <t>Total other debt balance</t>
  </si>
  <si>
    <t>OTHER EQUITY</t>
  </si>
  <si>
    <t>No interest assumed</t>
  </si>
  <si>
    <t>Opening equity balance</t>
  </si>
  <si>
    <t>Equity contributions / utilisation</t>
  </si>
  <si>
    <t>Equity repayments / distributions</t>
  </si>
  <si>
    <t>Closing equity balance</t>
  </si>
  <si>
    <t>CASH RECONCILIATION</t>
  </si>
  <si>
    <t>Monthly funding source allocation</t>
  </si>
  <si>
    <t>Opening cash on hand</t>
  </si>
  <si>
    <t>RMH capital utilisation</t>
  </si>
  <si>
    <t>Other debt utilisation</t>
  </si>
  <si>
    <t>Equity utilisation</t>
  </si>
  <si>
    <t>Total new funding</t>
  </si>
  <si>
    <t>Total cash available</t>
  </si>
  <si>
    <t>Project costs</t>
  </si>
  <si>
    <t>RMH capital repayments</t>
  </si>
  <si>
    <t>RMH interest repayments</t>
  </si>
  <si>
    <t>Other debt capital repayments</t>
  </si>
  <si>
    <t>Other debt interest repayments</t>
  </si>
  <si>
    <t>Total cash utilisation</t>
  </si>
  <si>
    <t>Closing cash on hand</t>
  </si>
  <si>
    <t>Funding check</t>
  </si>
  <si>
    <t>Closing cash should remain non-negative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</si>
</sst>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&quot;#,##0"/>
    <numFmt numFmtId="165" formatCode="\R\ #,##0;[Red]\(\R\ #,##0\);\-"/>
    <numFmt numFmtId="166" formatCode="\R\ #,##0;\ \(\R\ #,##0\);\ &quot;-&quot;"/>
  </numFmts>
  <fonts count="16" x14ac:knownFonts="1">
    <font>
      <sz val="11"/>
      <color theme="1"/>
      <name val="Aptos Narrow"/>
      <family val="2"/>
      <scheme val="minor"/>
    </font>
    <font>
      <b/>
      <sz val="12"/>
      <color rgb="FF1F4E79"/>
      <name val="Arial"/>
      <family val="2"/>
    </font>
    <font>
      <sz val="9"/>
      <color theme="1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i/>
      <sz val="8"/>
      <color theme="1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3"/>
      <color rgb="FFFFFFFF"/>
      <name val="Aptos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F243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365F9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E2F0D9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 applyAlignment="1">
      <alignment horizontal="left"/>
    </xf>
    <xf numFmtId="0" fontId="4" fillId="3" borderId="1" xfId="0" applyFont="1" applyFill="1" applyBorder="1"/>
    <xf numFmtId="17" fontId="4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8" fillId="5" borderId="1" xfId="0" applyNumberFormat="1" applyFont="1" applyFill="1" applyBorder="1"/>
    <xf numFmtId="164" fontId="8" fillId="6" borderId="1" xfId="0" applyNumberFormat="1" applyFont="1" applyFill="1" applyBorder="1"/>
    <xf numFmtId="0" fontId="5" fillId="2" borderId="1" xfId="0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0" fontId="5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4" fontId="6" fillId="5" borderId="1" xfId="0" applyNumberFormat="1" applyFont="1" applyFill="1" applyBorder="1"/>
    <xf numFmtId="166" fontId="6" fillId="5" borderId="1" xfId="0" applyNumberFormat="1" applyFont="1" applyFill="1" applyBorder="1"/>
    <xf numFmtId="166" fontId="6" fillId="6" borderId="1" xfId="0" applyNumberFormat="1" applyFont="1" applyFill="1" applyBorder="1"/>
    <xf numFmtId="0" fontId="6" fillId="0" borderId="0" xfId="0" applyFont="1"/>
    <xf numFmtId="0" fontId="9" fillId="0" borderId="1" xfId="0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164" fontId="9" fillId="5" borderId="1" xfId="0" applyNumberFormat="1" applyFont="1" applyFill="1" applyBorder="1"/>
    <xf numFmtId="164" fontId="9" fillId="6" borderId="1" xfId="0" applyNumberFormat="1" applyFont="1" applyFill="1" applyBorder="1"/>
    <xf numFmtId="0" fontId="6" fillId="5" borderId="1" xfId="0" applyFont="1" applyFill="1" applyBorder="1"/>
    <xf numFmtId="166" fontId="2" fillId="6" borderId="1" xfId="0" applyNumberFormat="1" applyFont="1" applyFill="1" applyBorder="1"/>
    <xf numFmtId="0" fontId="9" fillId="5" borderId="1" xfId="0" applyFont="1" applyFill="1" applyBorder="1"/>
    <xf numFmtId="166" fontId="9" fillId="5" borderId="1" xfId="0" applyNumberFormat="1" applyFont="1" applyFill="1" applyBorder="1"/>
    <xf numFmtId="166" fontId="9" fillId="6" borderId="1" xfId="0" applyNumberFormat="1" applyFont="1" applyFill="1" applyBorder="1"/>
    <xf numFmtId="0" fontId="9" fillId="0" borderId="0" xfId="0" applyFont="1"/>
    <xf numFmtId="0" fontId="6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165" fontId="11" fillId="0" borderId="1" xfId="0" applyNumberFormat="1" applyFont="1" applyBorder="1"/>
    <xf numFmtId="0" fontId="11" fillId="5" borderId="1" xfId="0" applyFont="1" applyFill="1" applyBorder="1"/>
    <xf numFmtId="166" fontId="11" fillId="5" borderId="1" xfId="0" applyNumberFormat="1" applyFont="1" applyFill="1" applyBorder="1"/>
    <xf numFmtId="166" fontId="11" fillId="6" borderId="1" xfId="0" applyNumberFormat="1" applyFont="1" applyFill="1" applyBorder="1"/>
    <xf numFmtId="0" fontId="11" fillId="0" borderId="0" xfId="0" applyFont="1"/>
    <xf numFmtId="0" fontId="2" fillId="0" borderId="1" xfId="0" applyFont="1" applyBorder="1"/>
    <xf numFmtId="0" fontId="2" fillId="5" borderId="1" xfId="0" applyFont="1" applyFill="1" applyBorder="1"/>
    <xf numFmtId="166" fontId="2" fillId="5" borderId="1" xfId="0" applyNumberFormat="1" applyFont="1" applyFill="1" applyBorder="1"/>
    <xf numFmtId="0" fontId="12" fillId="0" borderId="1" xfId="0" applyFont="1" applyBorder="1"/>
    <xf numFmtId="166" fontId="5" fillId="7" borderId="1" xfId="0" applyNumberFormat="1" applyFont="1" applyFill="1" applyBorder="1"/>
    <xf numFmtId="166" fontId="5" fillId="8" borderId="1" xfId="0" applyNumberFormat="1" applyFont="1" applyFill="1" applyBorder="1"/>
    <xf numFmtId="0" fontId="13" fillId="9" borderId="2" xfId="0" applyFont="1" applyFill="1" applyBorder="1" applyAlignment="1">
      <alignment horizontal="center" wrapText="1"/>
    </xf>
    <xf numFmtId="0" fontId="13" fillId="9" borderId="2" xfId="0" applyFont="1" applyFill="1" applyBorder="1" applyAlignment="1">
      <alignment horizontal="center"/>
    </xf>
    <xf numFmtId="0" fontId="14" fillId="10" borderId="3" xfId="0" applyFont="1" applyFill="1" applyBorder="1" applyAlignment="1">
      <alignment vertical="center" wrapText="1"/>
    </xf>
    <xf numFmtId="0" fontId="14" fillId="10" borderId="3" xfId="0" applyFont="1" applyFill="1" applyBorder="1" applyAlignment="1">
      <alignment vertical="center"/>
    </xf>
    <xf numFmtId="17" fontId="14" fillId="10" borderId="3" xfId="0" applyNumberFormat="1" applyFont="1" applyFill="1" applyBorder="1" applyAlignment="1">
      <alignment horizontal="right"/>
    </xf>
    <xf numFmtId="0" fontId="14" fillId="10" borderId="3" xfId="0" applyFont="1" applyFill="1" applyBorder="1" applyAlignment="1">
      <alignment horizontal="right"/>
    </xf>
    <xf numFmtId="0" fontId="11" fillId="0" borderId="3" xfId="0" applyFont="1" applyBorder="1" applyAlignment="1">
      <alignment vertical="center" wrapText="1"/>
    </xf>
    <xf numFmtId="165" fontId="11" fillId="0" borderId="3" xfId="0" applyNumberFormat="1" applyFont="1" applyBorder="1" applyAlignment="1">
      <alignment vertical="center"/>
    </xf>
    <xf numFmtId="165" fontId="11" fillId="11" borderId="3" xfId="0" applyNumberFormat="1" applyFont="1" applyFill="1" applyBorder="1" applyAlignment="1">
      <alignment horizontal="right"/>
    </xf>
    <xf numFmtId="165" fontId="11" fillId="12" borderId="3" xfId="0" applyNumberFormat="1" applyFont="1" applyFill="1" applyBorder="1" applyAlignment="1">
      <alignment horizontal="right"/>
    </xf>
    <xf numFmtId="0" fontId="14" fillId="0" borderId="3" xfId="0" applyFont="1" applyBorder="1" applyAlignment="1">
      <alignment vertical="center" wrapText="1"/>
    </xf>
    <xf numFmtId="165" fontId="14" fillId="0" borderId="3" xfId="0" applyNumberFormat="1" applyFont="1" applyBorder="1" applyAlignment="1">
      <alignment vertical="center"/>
    </xf>
    <xf numFmtId="165" fontId="14" fillId="11" borderId="3" xfId="0" applyNumberFormat="1" applyFont="1" applyFill="1" applyBorder="1" applyAlignment="1">
      <alignment horizontal="right"/>
    </xf>
    <xf numFmtId="0" fontId="15" fillId="13" borderId="3" xfId="0" applyFont="1" applyFill="1" applyBorder="1" applyAlignment="1">
      <alignment vertical="center" wrapText="1"/>
    </xf>
    <xf numFmtId="165" fontId="15" fillId="13" borderId="3" xfId="0" applyNumberFormat="1" applyFont="1" applyFill="1" applyBorder="1" applyAlignment="1">
      <alignment vertical="center"/>
    </xf>
    <xf numFmtId="165" fontId="15" fillId="13" borderId="3" xfId="0" applyNumberFormat="1" applyFont="1" applyFill="1" applyBorder="1" applyAlignment="1">
      <alignment horizontal="right"/>
    </xf>
    <xf numFmtId="10" fontId="11" fillId="0" borderId="3" xfId="0" applyNumberFormat="1" applyFont="1" applyBorder="1" applyAlignment="1">
      <alignment vertical="center"/>
    </xf>
    <xf numFmtId="10" fontId="11" fillId="12" borderId="3" xfId="0" applyNumberFormat="1" applyFont="1" applyFill="1" applyBorder="1" applyAlignment="1">
      <alignment horizontal="right"/>
    </xf>
    <xf numFmtId="165" fontId="11" fillId="0" borderId="3" xfId="0" applyNumberFormat="1" applyFont="1" applyBorder="1" applyAlignment="1">
      <alignment horizontal="right"/>
    </xf>
    <xf numFmtId="0" fontId="15" fillId="14" borderId="3" xfId="0" applyFont="1" applyFill="1" applyBorder="1" applyAlignment="1">
      <alignment vertical="center" wrapText="1"/>
    </xf>
    <xf numFmtId="165" fontId="15" fillId="14" borderId="3" xfId="0" applyNumberFormat="1" applyFont="1" applyFill="1" applyBorder="1" applyAlignment="1">
      <alignment vertical="center"/>
    </xf>
    <xf numFmtId="165" fontId="15" fillId="14" borderId="3" xfId="0" applyNumberFormat="1" applyFont="1" applyFill="1" applyBorder="1" applyAlignment="1">
      <alignment horizontal="right"/>
    </xf>
    <xf numFmtId="0" fontId="15" fillId="15" borderId="3" xfId="0" applyFont="1" applyFill="1" applyBorder="1" applyAlignment="1">
      <alignment vertical="center" wrapText="1"/>
    </xf>
    <xf numFmtId="165" fontId="15" fillId="15" borderId="3" xfId="0" applyNumberFormat="1" applyFont="1" applyFill="1" applyBorder="1" applyAlignment="1">
      <alignment vertical="center"/>
    </xf>
    <xf numFmtId="165" fontId="15" fillId="15" borderId="3" xfId="0" applyNumberFormat="1" applyFont="1" applyFill="1" applyBorder="1" applyAlignment="1">
      <alignment horizontal="right"/>
    </xf>
    <xf numFmtId="0" fontId="15" fillId="16" borderId="3" xfId="0" applyFont="1" applyFill="1" applyBorder="1" applyAlignment="1">
      <alignment vertical="center" wrapText="1"/>
    </xf>
    <xf numFmtId="165" fontId="15" fillId="16" borderId="3" xfId="0" applyNumberFormat="1" applyFont="1" applyFill="1" applyBorder="1" applyAlignment="1">
      <alignment vertical="center"/>
    </xf>
    <xf numFmtId="165" fontId="15" fillId="16" borderId="3" xfId="0" applyNumberFormat="1" applyFont="1" applyFill="1" applyBorder="1" applyAlignment="1">
      <alignment horizontal="right"/>
    </xf>
    <xf numFmtId="0" fontId="14" fillId="17" borderId="4" xfId="0" applyFont="1" applyFill="1" applyBorder="1" applyAlignment="1">
      <alignment vertical="center" wrapText="1"/>
    </xf>
    <xf numFmtId="165" fontId="14" fillId="17" borderId="4" xfId="0" applyNumberFormat="1" applyFont="1" applyFill="1" applyBorder="1" applyAlignment="1">
      <alignment vertical="center"/>
    </xf>
    <xf numFmtId="165" fontId="14" fillId="11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2"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C785-4F8B-4AE2-ADC2-59F984B79569}">
  <dimension ref="A1:S116"/>
  <sheetViews>
    <sheetView tabSelected="1" topLeftCell="A88" workbookViewId="0">
      <selection activeCell="C20" sqref="C20"/>
    </sheetView>
  </sheetViews>
  <sheetFormatPr defaultRowHeight="11.4" x14ac:dyDescent="0.2"/>
  <cols>
    <col min="1" max="1" width="53.21875" style="2" bestFit="1" customWidth="1"/>
    <col min="2" max="2" width="22.33203125" style="2" bestFit="1" customWidth="1"/>
    <col min="3" max="3" width="13.5546875" style="2" bestFit="1" customWidth="1"/>
    <col min="4" max="4" width="26" style="2" bestFit="1" customWidth="1"/>
    <col min="5" max="5" width="13.6640625" style="2" bestFit="1" customWidth="1"/>
    <col min="6" max="6" width="16.88671875" style="2" bestFit="1" customWidth="1"/>
    <col min="7" max="7" width="10.77734375" style="2" bestFit="1" customWidth="1"/>
    <col min="8" max="8" width="10.44140625" style="2" bestFit="1" customWidth="1"/>
    <col min="9" max="9" width="10.109375" style="2" bestFit="1" customWidth="1"/>
    <col min="10" max="11" width="10.44140625" style="2" bestFit="1" customWidth="1"/>
    <col min="12" max="19" width="10.77734375" style="2" bestFit="1" customWidth="1"/>
    <col min="20" max="16384" width="8.88671875" style="2"/>
  </cols>
  <sheetData>
    <row r="1" spans="1:19" ht="24" customHeight="1" x14ac:dyDescent="0.3">
      <c r="A1" s="1" t="s">
        <v>0</v>
      </c>
    </row>
    <row r="2" spans="1:19" ht="19.95" customHeight="1" x14ac:dyDescent="0.2">
      <c r="A2" s="3">
        <f ca="1">TODAY()</f>
        <v>46316</v>
      </c>
    </row>
    <row r="5" spans="1:19" ht="12" x14ac:dyDescent="0.25">
      <c r="A5" s="4" t="s">
        <v>1</v>
      </c>
      <c r="B5" s="4" t="s">
        <v>2</v>
      </c>
      <c r="C5" s="4"/>
      <c r="D5" s="4"/>
      <c r="E5" s="4"/>
      <c r="F5" s="4"/>
      <c r="G5" s="5">
        <v>46204</v>
      </c>
      <c r="H5" s="6" t="s">
        <v>3</v>
      </c>
      <c r="I5" s="6" t="s">
        <v>4</v>
      </c>
      <c r="J5" s="6" t="s">
        <v>5</v>
      </c>
      <c r="K5" s="6" t="s">
        <v>6</v>
      </c>
      <c r="L5" s="6" t="s">
        <v>7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12</v>
      </c>
      <c r="R5" s="6" t="s">
        <v>13</v>
      </c>
      <c r="S5" s="6" t="s">
        <v>14</v>
      </c>
    </row>
    <row r="6" spans="1:19" s="10" customFormat="1" ht="12" x14ac:dyDescent="0.3">
      <c r="A6" s="7" t="s">
        <v>15</v>
      </c>
      <c r="B6" s="8" t="s">
        <v>16</v>
      </c>
      <c r="C6" s="9" t="s">
        <v>17</v>
      </c>
      <c r="D6" s="9" t="s">
        <v>18</v>
      </c>
      <c r="E6" s="9" t="s">
        <v>19</v>
      </c>
      <c r="F6" s="8" t="s">
        <v>20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22</v>
      </c>
      <c r="L6" s="8" t="s">
        <v>22</v>
      </c>
      <c r="M6" s="8" t="s">
        <v>22</v>
      </c>
      <c r="N6" s="8" t="s">
        <v>22</v>
      </c>
      <c r="O6" s="8" t="s">
        <v>22</v>
      </c>
      <c r="P6" s="8" t="s">
        <v>22</v>
      </c>
      <c r="Q6" s="8" t="s">
        <v>22</v>
      </c>
      <c r="R6" s="8" t="s">
        <v>22</v>
      </c>
      <c r="S6" s="8" t="s">
        <v>22</v>
      </c>
    </row>
    <row r="7" spans="1:19" x14ac:dyDescent="0.2">
      <c r="A7" s="11" t="s">
        <v>23</v>
      </c>
      <c r="B7" s="12">
        <f>24*1395000</f>
        <v>33480000</v>
      </c>
      <c r="C7" s="13">
        <f>IF($A7="","",SUM($G7:$J7))</f>
        <v>0</v>
      </c>
      <c r="D7" s="13">
        <f>IF($A7="","",SUM($K7:$S7))</f>
        <v>0</v>
      </c>
      <c r="E7" s="13">
        <f>IF($A7="","",C7+D7)</f>
        <v>0</v>
      </c>
      <c r="F7" s="13">
        <f>IF(OR($A7="",NOT(ISNUMBER($B7))),"",B7-E7)</f>
        <v>33480000</v>
      </c>
      <c r="G7" s="14"/>
      <c r="H7" s="14"/>
      <c r="I7" s="14"/>
      <c r="J7" s="14"/>
      <c r="K7" s="15"/>
      <c r="L7" s="15"/>
      <c r="M7" s="15"/>
      <c r="N7" s="15"/>
      <c r="O7" s="15"/>
      <c r="P7" s="15"/>
      <c r="Q7" s="15"/>
      <c r="R7" s="15"/>
      <c r="S7" s="15"/>
    </row>
    <row r="8" spans="1:19" x14ac:dyDescent="0.2">
      <c r="A8" s="11" t="s">
        <v>24</v>
      </c>
      <c r="B8" s="12"/>
      <c r="C8" s="13">
        <f t="shared" ref="C8:C9" si="0">IF($A8="","",SUM($G8:$J8))</f>
        <v>0</v>
      </c>
      <c r="D8" s="13">
        <f t="shared" ref="D8:D9" si="1">IF($A8="","",SUM($K8:$S8))</f>
        <v>0</v>
      </c>
      <c r="E8" s="13">
        <f t="shared" ref="E8:E9" si="2">IF($A8="","",C8+D8)</f>
        <v>0</v>
      </c>
      <c r="F8" s="13" t="str">
        <f t="shared" ref="F8:F9" si="3">IF(OR($A8="",NOT(ISNUMBER($B8))),"",B8-E8)</f>
        <v/>
      </c>
      <c r="G8" s="14"/>
      <c r="H8" s="14"/>
      <c r="I8" s="14"/>
      <c r="J8" s="14"/>
      <c r="K8" s="15"/>
      <c r="L8" s="15"/>
      <c r="M8" s="15"/>
      <c r="N8" s="15"/>
      <c r="O8" s="15"/>
      <c r="P8" s="15"/>
      <c r="Q8" s="15"/>
      <c r="R8" s="15"/>
      <c r="S8" s="15"/>
    </row>
    <row r="9" spans="1:19" ht="12" x14ac:dyDescent="0.25">
      <c r="A9" s="16" t="s">
        <v>25</v>
      </c>
      <c r="B9" s="16" t="s">
        <v>26</v>
      </c>
      <c r="C9" s="17">
        <f t="shared" si="0"/>
        <v>0</v>
      </c>
      <c r="D9" s="17">
        <f t="shared" si="1"/>
        <v>0</v>
      </c>
      <c r="E9" s="17">
        <f t="shared" si="2"/>
        <v>0</v>
      </c>
      <c r="F9" s="17" t="str">
        <f t="shared" si="3"/>
        <v/>
      </c>
      <c r="G9" s="18"/>
      <c r="H9" s="18">
        <f>H7+H8</f>
        <v>0</v>
      </c>
      <c r="I9" s="18">
        <f t="shared" ref="I9:S9" si="4">I7+I8</f>
        <v>0</v>
      </c>
      <c r="J9" s="18">
        <f t="shared" si="4"/>
        <v>0</v>
      </c>
      <c r="K9" s="18">
        <f t="shared" si="4"/>
        <v>0</v>
      </c>
      <c r="L9" s="18">
        <f t="shared" si="4"/>
        <v>0</v>
      </c>
      <c r="M9" s="18">
        <f t="shared" si="4"/>
        <v>0</v>
      </c>
      <c r="N9" s="18">
        <f t="shared" si="4"/>
        <v>0</v>
      </c>
      <c r="O9" s="18">
        <f t="shared" si="4"/>
        <v>0</v>
      </c>
      <c r="P9" s="18">
        <f t="shared" si="4"/>
        <v>0</v>
      </c>
      <c r="Q9" s="18">
        <f t="shared" si="4"/>
        <v>0</v>
      </c>
      <c r="R9" s="18">
        <f t="shared" si="4"/>
        <v>0</v>
      </c>
      <c r="S9" s="18">
        <f t="shared" si="4"/>
        <v>0</v>
      </c>
    </row>
    <row r="11" spans="1:19" s="10" customFormat="1" ht="28.8" customHeight="1" x14ac:dyDescent="0.3">
      <c r="A11" s="7" t="s">
        <v>27</v>
      </c>
      <c r="B11" s="8" t="s">
        <v>16</v>
      </c>
      <c r="C11" s="9" t="s">
        <v>17</v>
      </c>
      <c r="D11" s="9" t="s">
        <v>18</v>
      </c>
      <c r="E11" s="9" t="s">
        <v>19</v>
      </c>
      <c r="F11" s="8" t="s">
        <v>20</v>
      </c>
      <c r="G11" s="8" t="str">
        <f>G6</f>
        <v>Actual</v>
      </c>
      <c r="H11" s="8" t="str">
        <f>H6</f>
        <v>Actual</v>
      </c>
      <c r="I11" s="8" t="str">
        <f t="shared" ref="I11:S11" si="5">I6</f>
        <v>Actual</v>
      </c>
      <c r="J11" s="8" t="str">
        <f t="shared" si="5"/>
        <v>Actual</v>
      </c>
      <c r="K11" s="8" t="str">
        <f t="shared" si="5"/>
        <v>Forecast</v>
      </c>
      <c r="L11" s="8" t="str">
        <f t="shared" si="5"/>
        <v>Forecast</v>
      </c>
      <c r="M11" s="8" t="str">
        <f t="shared" si="5"/>
        <v>Forecast</v>
      </c>
      <c r="N11" s="8" t="str">
        <f t="shared" si="5"/>
        <v>Forecast</v>
      </c>
      <c r="O11" s="8" t="str">
        <f t="shared" si="5"/>
        <v>Forecast</v>
      </c>
      <c r="P11" s="8" t="str">
        <f t="shared" si="5"/>
        <v>Forecast</v>
      </c>
      <c r="Q11" s="8" t="str">
        <f t="shared" si="5"/>
        <v>Forecast</v>
      </c>
      <c r="R11" s="8" t="str">
        <f t="shared" si="5"/>
        <v>Forecast</v>
      </c>
      <c r="S11" s="8" t="str">
        <f t="shared" si="5"/>
        <v>Forecast</v>
      </c>
    </row>
    <row r="12" spans="1:19" s="25" customFormat="1" ht="12" x14ac:dyDescent="0.25">
      <c r="A12" s="19" t="s">
        <v>28</v>
      </c>
      <c r="B12" s="20">
        <f>SUM(B13:B16)</f>
        <v>147500</v>
      </c>
      <c r="C12" s="21">
        <f>IF($A12="","",SUM($G12:$J12))</f>
        <v>99500</v>
      </c>
      <c r="D12" s="21">
        <f>IF($A12="","",SUM($K12:$S12))</f>
        <v>48000</v>
      </c>
      <c r="E12" s="21">
        <f>IF($A12="","",C12+D12)</f>
        <v>147500</v>
      </c>
      <c r="F12" s="21">
        <f>IF(OR($A12="",NOT(ISNUMBER($B12))),"",B12-E12)</f>
        <v>0</v>
      </c>
      <c r="G12" s="22">
        <f t="shared" ref="G12:S12" si="6">SUM(G13:G17)</f>
        <v>37250</v>
      </c>
      <c r="H12" s="23">
        <f t="shared" si="6"/>
        <v>62250</v>
      </c>
      <c r="I12" s="23">
        <f t="shared" si="6"/>
        <v>0</v>
      </c>
      <c r="J12" s="23">
        <f t="shared" si="6"/>
        <v>0</v>
      </c>
      <c r="K12" s="24">
        <f t="shared" si="6"/>
        <v>0</v>
      </c>
      <c r="L12" s="24">
        <f t="shared" si="6"/>
        <v>48000</v>
      </c>
      <c r="M12" s="24">
        <f t="shared" si="6"/>
        <v>0</v>
      </c>
      <c r="N12" s="24">
        <f t="shared" si="6"/>
        <v>0</v>
      </c>
      <c r="O12" s="24">
        <f t="shared" si="6"/>
        <v>0</v>
      </c>
      <c r="P12" s="24">
        <f t="shared" si="6"/>
        <v>0</v>
      </c>
      <c r="Q12" s="24">
        <f t="shared" si="6"/>
        <v>0</v>
      </c>
      <c r="R12" s="24">
        <f t="shared" si="6"/>
        <v>0</v>
      </c>
      <c r="S12" s="24">
        <f t="shared" si="6"/>
        <v>0</v>
      </c>
    </row>
    <row r="13" spans="1:19" x14ac:dyDescent="0.2">
      <c r="A13" s="26" t="s">
        <v>29</v>
      </c>
      <c r="B13" s="27">
        <v>14250</v>
      </c>
      <c r="C13" s="28">
        <f t="shared" ref="C13:C61" si="7">IF($A13="","",SUM($G13:$J13))</f>
        <v>14250</v>
      </c>
      <c r="D13" s="28">
        <f t="shared" ref="D13:D61" si="8">IF($A13="","",SUM($K13:$S13))</f>
        <v>0</v>
      </c>
      <c r="E13" s="28">
        <f t="shared" ref="E13:E61" si="9">IF($A13="","",C13+D13)</f>
        <v>14250</v>
      </c>
      <c r="F13" s="28">
        <f>IF(OR($A13="",NOT(ISNUMBER($B13))),"",B13-E13)</f>
        <v>0</v>
      </c>
      <c r="G13" s="29"/>
      <c r="H13" s="29">
        <f>14250</f>
        <v>14250</v>
      </c>
      <c r="I13" s="29"/>
      <c r="J13" s="29"/>
      <c r="K13" s="30"/>
      <c r="L13" s="30"/>
      <c r="M13" s="30"/>
      <c r="N13" s="30"/>
      <c r="O13" s="30"/>
      <c r="P13" s="30"/>
      <c r="Q13" s="30"/>
      <c r="R13" s="30"/>
      <c r="S13" s="30"/>
    </row>
    <row r="14" spans="1:19" x14ac:dyDescent="0.2">
      <c r="A14" s="26" t="s">
        <v>30</v>
      </c>
      <c r="B14" s="27">
        <v>14250</v>
      </c>
      <c r="C14" s="28">
        <f t="shared" si="7"/>
        <v>14250</v>
      </c>
      <c r="D14" s="28">
        <f t="shared" si="8"/>
        <v>0</v>
      </c>
      <c r="E14" s="28">
        <f t="shared" si="9"/>
        <v>14250</v>
      </c>
      <c r="F14" s="28">
        <f t="shared" ref="F14:F61" si="10">IF(OR($A14="",NOT(ISNUMBER($B14))),"",B14-E14)</f>
        <v>0</v>
      </c>
      <c r="G14" s="29">
        <v>14250</v>
      </c>
      <c r="H14" s="29"/>
      <c r="I14" s="29"/>
      <c r="J14" s="29"/>
      <c r="K14" s="30"/>
      <c r="L14" s="30"/>
      <c r="M14" s="30"/>
      <c r="N14" s="30"/>
      <c r="O14" s="30"/>
      <c r="P14" s="30"/>
      <c r="Q14" s="30"/>
      <c r="R14" s="30"/>
      <c r="S14" s="30"/>
    </row>
    <row r="15" spans="1:19" x14ac:dyDescent="0.2">
      <c r="A15" s="26" t="s">
        <v>31</v>
      </c>
      <c r="B15" s="27">
        <v>23000</v>
      </c>
      <c r="C15" s="28">
        <f t="shared" si="7"/>
        <v>23000</v>
      </c>
      <c r="D15" s="28">
        <f t="shared" si="8"/>
        <v>0</v>
      </c>
      <c r="E15" s="28">
        <f t="shared" si="9"/>
        <v>23000</v>
      </c>
      <c r="F15" s="28">
        <f t="shared" si="10"/>
        <v>0</v>
      </c>
      <c r="G15" s="29">
        <v>23000</v>
      </c>
      <c r="H15" s="29"/>
      <c r="I15" s="29"/>
      <c r="J15" s="29"/>
      <c r="K15" s="30"/>
      <c r="L15" s="30"/>
      <c r="M15" s="30"/>
      <c r="N15" s="30"/>
      <c r="O15" s="30"/>
      <c r="P15" s="30"/>
      <c r="Q15" s="30"/>
      <c r="R15" s="30"/>
      <c r="S15" s="30"/>
    </row>
    <row r="16" spans="1:19" x14ac:dyDescent="0.2">
      <c r="A16" s="26" t="s">
        <v>32</v>
      </c>
      <c r="B16" s="27">
        <v>96000</v>
      </c>
      <c r="C16" s="28">
        <f t="shared" si="7"/>
        <v>48000</v>
      </c>
      <c r="D16" s="28">
        <f t="shared" si="8"/>
        <v>48000</v>
      </c>
      <c r="E16" s="28">
        <f t="shared" si="9"/>
        <v>96000</v>
      </c>
      <c r="F16" s="28">
        <f t="shared" si="10"/>
        <v>0</v>
      </c>
      <c r="G16" s="29"/>
      <c r="H16" s="29">
        <v>48000</v>
      </c>
      <c r="I16" s="29"/>
      <c r="J16" s="29"/>
      <c r="K16" s="30"/>
      <c r="L16" s="30">
        <v>48000</v>
      </c>
      <c r="M16" s="30"/>
      <c r="N16" s="30"/>
      <c r="O16" s="30"/>
      <c r="P16" s="30"/>
      <c r="Q16" s="30"/>
      <c r="R16" s="30"/>
      <c r="S16" s="30"/>
    </row>
    <row r="17" spans="1:19" x14ac:dyDescent="0.2">
      <c r="A17" s="26"/>
      <c r="B17" s="27"/>
      <c r="C17" s="28" t="str">
        <f t="shared" si="7"/>
        <v/>
      </c>
      <c r="D17" s="28" t="str">
        <f t="shared" si="8"/>
        <v/>
      </c>
      <c r="E17" s="28" t="str">
        <f t="shared" si="9"/>
        <v/>
      </c>
      <c r="F17" s="28" t="str">
        <f t="shared" si="10"/>
        <v/>
      </c>
      <c r="G17" s="29"/>
      <c r="H17" s="29"/>
      <c r="I17" s="29"/>
      <c r="J17" s="29"/>
      <c r="K17" s="30"/>
      <c r="L17" s="30"/>
      <c r="M17" s="30"/>
      <c r="N17" s="30"/>
      <c r="O17" s="30"/>
      <c r="P17" s="30"/>
      <c r="Q17" s="30"/>
      <c r="R17" s="30"/>
      <c r="S17" s="30"/>
    </row>
    <row r="18" spans="1:19" ht="12" x14ac:dyDescent="0.25">
      <c r="A18" s="19" t="s">
        <v>33</v>
      </c>
      <c r="B18" s="20">
        <f>SUM(B19:B22)</f>
        <v>114998.84999999999</v>
      </c>
      <c r="C18" s="21">
        <f t="shared" si="7"/>
        <v>38332.949999999997</v>
      </c>
      <c r="D18" s="21">
        <f t="shared" si="8"/>
        <v>76665.899999999994</v>
      </c>
      <c r="E18" s="21">
        <f t="shared" si="9"/>
        <v>114998.84999999999</v>
      </c>
      <c r="F18" s="28">
        <f t="shared" si="10"/>
        <v>0</v>
      </c>
      <c r="G18" s="31">
        <f>SUM(G19:G22)</f>
        <v>0</v>
      </c>
      <c r="H18" s="23">
        <f t="shared" ref="H18:S18" si="11">SUM(H19:H22)</f>
        <v>38332.949999999997</v>
      </c>
      <c r="I18" s="23">
        <f t="shared" si="11"/>
        <v>0</v>
      </c>
      <c r="J18" s="23">
        <f t="shared" si="11"/>
        <v>0</v>
      </c>
      <c r="K18" s="24">
        <f t="shared" si="11"/>
        <v>38332.949999999997</v>
      </c>
      <c r="L18" s="24">
        <f t="shared" si="11"/>
        <v>0</v>
      </c>
      <c r="M18" s="24">
        <f t="shared" si="11"/>
        <v>0</v>
      </c>
      <c r="N18" s="24">
        <f t="shared" si="11"/>
        <v>38332.949999999997</v>
      </c>
      <c r="O18" s="24">
        <f t="shared" si="11"/>
        <v>0</v>
      </c>
      <c r="P18" s="24">
        <f t="shared" si="11"/>
        <v>0</v>
      </c>
      <c r="Q18" s="24">
        <f t="shared" si="11"/>
        <v>0</v>
      </c>
      <c r="R18" s="32">
        <f t="shared" si="11"/>
        <v>0</v>
      </c>
      <c r="S18" s="32">
        <f t="shared" si="11"/>
        <v>0</v>
      </c>
    </row>
    <row r="19" spans="1:19" s="36" customFormat="1" x14ac:dyDescent="0.2">
      <c r="A19" s="26" t="s">
        <v>34</v>
      </c>
      <c r="B19" s="26"/>
      <c r="C19" s="28">
        <f t="shared" si="7"/>
        <v>0</v>
      </c>
      <c r="D19" s="28">
        <f t="shared" si="8"/>
        <v>0</v>
      </c>
      <c r="E19" s="28">
        <f t="shared" si="9"/>
        <v>0</v>
      </c>
      <c r="F19" s="13" t="str">
        <f t="shared" si="10"/>
        <v/>
      </c>
      <c r="G19" s="33"/>
      <c r="H19" s="34"/>
      <c r="I19" s="34"/>
      <c r="J19" s="34"/>
      <c r="K19" s="35"/>
      <c r="L19" s="35"/>
      <c r="M19" s="35"/>
      <c r="N19" s="35"/>
      <c r="O19" s="35"/>
      <c r="P19" s="35"/>
      <c r="Q19" s="35"/>
      <c r="R19" s="35"/>
      <c r="S19" s="35"/>
    </row>
    <row r="20" spans="1:19" s="36" customFormat="1" x14ac:dyDescent="0.2">
      <c r="A20" s="26" t="s">
        <v>35</v>
      </c>
      <c r="B20" s="26"/>
      <c r="C20" s="28">
        <f t="shared" si="7"/>
        <v>0</v>
      </c>
      <c r="D20" s="28">
        <f t="shared" si="8"/>
        <v>0</v>
      </c>
      <c r="E20" s="28">
        <f t="shared" si="9"/>
        <v>0</v>
      </c>
      <c r="F20" s="13" t="str">
        <f t="shared" si="10"/>
        <v/>
      </c>
      <c r="G20" s="33"/>
      <c r="H20" s="34"/>
      <c r="I20" s="34"/>
      <c r="J20" s="34"/>
      <c r="K20" s="35"/>
      <c r="L20" s="35"/>
      <c r="M20" s="35"/>
      <c r="N20" s="35"/>
      <c r="O20" s="35"/>
      <c r="P20" s="35"/>
      <c r="Q20" s="35"/>
      <c r="R20" s="35"/>
      <c r="S20" s="35"/>
    </row>
    <row r="21" spans="1:19" s="36" customFormat="1" x14ac:dyDescent="0.2">
      <c r="A21" s="26" t="s">
        <v>36</v>
      </c>
      <c r="B21" s="26"/>
      <c r="C21" s="28">
        <f t="shared" si="7"/>
        <v>0</v>
      </c>
      <c r="D21" s="28">
        <f t="shared" si="8"/>
        <v>0</v>
      </c>
      <c r="E21" s="28">
        <f t="shared" si="9"/>
        <v>0</v>
      </c>
      <c r="F21" s="13" t="str">
        <f t="shared" si="10"/>
        <v/>
      </c>
      <c r="G21" s="33"/>
      <c r="H21" s="34"/>
      <c r="I21" s="34"/>
      <c r="J21" s="34"/>
      <c r="K21" s="35"/>
      <c r="L21" s="35"/>
      <c r="M21" s="35"/>
      <c r="N21" s="35"/>
      <c r="O21" s="35"/>
      <c r="P21" s="35"/>
      <c r="Q21" s="35"/>
      <c r="R21" s="35"/>
      <c r="S21" s="35"/>
    </row>
    <row r="22" spans="1:19" s="36" customFormat="1" ht="10.199999999999999" x14ac:dyDescent="0.2">
      <c r="A22" s="26" t="s">
        <v>37</v>
      </c>
      <c r="B22" s="27">
        <f>38332.95*3</f>
        <v>114998.84999999999</v>
      </c>
      <c r="C22" s="28">
        <f t="shared" si="7"/>
        <v>38332.949999999997</v>
      </c>
      <c r="D22" s="28">
        <f t="shared" si="8"/>
        <v>76665.899999999994</v>
      </c>
      <c r="E22" s="28">
        <f t="shared" si="9"/>
        <v>114998.84999999999</v>
      </c>
      <c r="F22" s="28">
        <f t="shared" si="10"/>
        <v>0</v>
      </c>
      <c r="G22" s="33"/>
      <c r="H22" s="34">
        <v>38332.949999999997</v>
      </c>
      <c r="I22" s="34"/>
      <c r="J22" s="34"/>
      <c r="K22" s="35">
        <v>38332.949999999997</v>
      </c>
      <c r="L22" s="35"/>
      <c r="M22" s="35"/>
      <c r="N22" s="35">
        <v>38332.949999999997</v>
      </c>
      <c r="O22" s="35"/>
      <c r="P22" s="35"/>
      <c r="Q22" s="35"/>
      <c r="R22" s="35"/>
      <c r="S22" s="35"/>
    </row>
    <row r="23" spans="1:19" s="36" customFormat="1" ht="10.199999999999999" x14ac:dyDescent="0.2">
      <c r="A23" s="26"/>
      <c r="B23" s="26"/>
      <c r="C23" s="28"/>
      <c r="D23" s="28"/>
      <c r="E23" s="28"/>
      <c r="F23" s="28"/>
      <c r="G23" s="33"/>
      <c r="H23" s="34"/>
      <c r="I23" s="34"/>
      <c r="J23" s="34"/>
      <c r="K23" s="35"/>
      <c r="L23" s="35"/>
      <c r="M23" s="35"/>
      <c r="N23" s="35"/>
      <c r="O23" s="35"/>
      <c r="P23" s="35"/>
      <c r="Q23" s="35"/>
      <c r="R23" s="35"/>
      <c r="S23" s="35"/>
    </row>
    <row r="24" spans="1:19" s="25" customFormat="1" ht="12" x14ac:dyDescent="0.25">
      <c r="A24" s="19" t="s">
        <v>38</v>
      </c>
      <c r="B24" s="37">
        <f>SUM(B25:B28)</f>
        <v>0</v>
      </c>
      <c r="C24" s="21">
        <f t="shared" si="7"/>
        <v>0</v>
      </c>
      <c r="D24" s="21">
        <f t="shared" si="8"/>
        <v>0</v>
      </c>
      <c r="E24" s="21">
        <f t="shared" si="9"/>
        <v>0</v>
      </c>
      <c r="F24" s="21">
        <f t="shared" si="10"/>
        <v>0</v>
      </c>
      <c r="G24" s="31">
        <f>SUM(G25:G28)</f>
        <v>0</v>
      </c>
      <c r="H24" s="23">
        <f t="shared" ref="H24:S24" si="12">SUM(H25:H28)</f>
        <v>0</v>
      </c>
      <c r="I24" s="23">
        <f t="shared" si="12"/>
        <v>0</v>
      </c>
      <c r="J24" s="23">
        <f t="shared" si="12"/>
        <v>0</v>
      </c>
      <c r="K24" s="24">
        <f t="shared" si="12"/>
        <v>0</v>
      </c>
      <c r="L24" s="24">
        <f t="shared" si="12"/>
        <v>0</v>
      </c>
      <c r="M24" s="24">
        <f t="shared" si="12"/>
        <v>0</v>
      </c>
      <c r="N24" s="24">
        <f t="shared" si="12"/>
        <v>0</v>
      </c>
      <c r="O24" s="24">
        <f t="shared" si="12"/>
        <v>0</v>
      </c>
      <c r="P24" s="24">
        <f t="shared" si="12"/>
        <v>0</v>
      </c>
      <c r="Q24" s="24">
        <f t="shared" si="12"/>
        <v>0</v>
      </c>
      <c r="R24" s="24">
        <f t="shared" si="12"/>
        <v>0</v>
      </c>
      <c r="S24" s="24">
        <f t="shared" si="12"/>
        <v>0</v>
      </c>
    </row>
    <row r="25" spans="1:19" s="44" customFormat="1" x14ac:dyDescent="0.2">
      <c r="A25" s="38" t="s">
        <v>39</v>
      </c>
      <c r="B25" s="39"/>
      <c r="C25" s="40">
        <f t="shared" si="7"/>
        <v>0</v>
      </c>
      <c r="D25" s="40">
        <f t="shared" si="8"/>
        <v>0</v>
      </c>
      <c r="E25" s="40">
        <f t="shared" si="9"/>
        <v>0</v>
      </c>
      <c r="F25" s="13" t="str">
        <f t="shared" si="10"/>
        <v/>
      </c>
      <c r="G25" s="41"/>
      <c r="H25" s="42"/>
      <c r="I25" s="42"/>
      <c r="J25" s="42"/>
      <c r="K25" s="43"/>
      <c r="L25" s="43"/>
      <c r="M25" s="43"/>
      <c r="N25" s="43"/>
      <c r="O25" s="43"/>
      <c r="P25" s="43"/>
      <c r="Q25" s="43"/>
      <c r="R25" s="43"/>
      <c r="S25" s="43"/>
    </row>
    <row r="26" spans="1:19" s="44" customFormat="1" x14ac:dyDescent="0.2">
      <c r="A26" s="38" t="s">
        <v>40</v>
      </c>
      <c r="B26" s="39"/>
      <c r="C26" s="40">
        <f t="shared" si="7"/>
        <v>0</v>
      </c>
      <c r="D26" s="40">
        <f t="shared" si="8"/>
        <v>0</v>
      </c>
      <c r="E26" s="40">
        <f t="shared" si="9"/>
        <v>0</v>
      </c>
      <c r="F26" s="13" t="str">
        <f t="shared" si="10"/>
        <v/>
      </c>
      <c r="G26" s="41"/>
      <c r="H26" s="42"/>
      <c r="I26" s="42"/>
      <c r="J26" s="42"/>
      <c r="K26" s="43"/>
      <c r="L26" s="43"/>
      <c r="M26" s="43"/>
      <c r="N26" s="43"/>
      <c r="O26" s="43"/>
      <c r="P26" s="43"/>
      <c r="Q26" s="43"/>
      <c r="R26" s="43"/>
      <c r="S26" s="43"/>
    </row>
    <row r="27" spans="1:19" s="44" customFormat="1" x14ac:dyDescent="0.2">
      <c r="A27" s="38" t="s">
        <v>41</v>
      </c>
      <c r="B27" s="39"/>
      <c r="C27" s="40">
        <f t="shared" si="7"/>
        <v>0</v>
      </c>
      <c r="D27" s="40">
        <f t="shared" si="8"/>
        <v>0</v>
      </c>
      <c r="E27" s="40">
        <f t="shared" si="9"/>
        <v>0</v>
      </c>
      <c r="F27" s="13" t="str">
        <f t="shared" si="10"/>
        <v/>
      </c>
      <c r="G27" s="41"/>
      <c r="H27" s="42"/>
      <c r="I27" s="42"/>
      <c r="J27" s="42"/>
      <c r="K27" s="43"/>
      <c r="L27" s="43"/>
      <c r="M27" s="43"/>
      <c r="N27" s="43"/>
      <c r="O27" s="43"/>
      <c r="P27" s="43"/>
      <c r="Q27" s="43"/>
      <c r="R27" s="43"/>
      <c r="S27" s="43"/>
    </row>
    <row r="28" spans="1:19" s="44" customFormat="1" x14ac:dyDescent="0.2">
      <c r="A28" s="38" t="s">
        <v>42</v>
      </c>
      <c r="B28" s="39"/>
      <c r="C28" s="40">
        <f t="shared" si="7"/>
        <v>0</v>
      </c>
      <c r="D28" s="40">
        <f t="shared" si="8"/>
        <v>0</v>
      </c>
      <c r="E28" s="40">
        <f t="shared" si="9"/>
        <v>0</v>
      </c>
      <c r="F28" s="13" t="str">
        <f t="shared" si="10"/>
        <v/>
      </c>
      <c r="G28" s="41"/>
      <c r="H28" s="42"/>
      <c r="I28" s="42"/>
      <c r="J28" s="42"/>
      <c r="K28" s="43"/>
      <c r="L28" s="43"/>
      <c r="M28" s="43"/>
      <c r="N28" s="43"/>
      <c r="O28" s="43"/>
      <c r="P28" s="43"/>
      <c r="Q28" s="43"/>
      <c r="R28" s="43"/>
      <c r="S28" s="43"/>
    </row>
    <row r="29" spans="1:19" x14ac:dyDescent="0.2">
      <c r="A29" s="11"/>
      <c r="B29" s="45"/>
      <c r="C29" s="13"/>
      <c r="D29" s="13"/>
      <c r="E29" s="13"/>
      <c r="F29" s="13"/>
      <c r="G29" s="46"/>
      <c r="H29" s="47"/>
      <c r="I29" s="47"/>
      <c r="J29" s="47"/>
      <c r="K29" s="32"/>
      <c r="L29" s="32"/>
      <c r="M29" s="32"/>
      <c r="N29" s="32"/>
      <c r="O29" s="32"/>
      <c r="P29" s="32"/>
      <c r="Q29" s="32"/>
      <c r="R29" s="32"/>
      <c r="S29" s="32"/>
    </row>
    <row r="30" spans="1:19" ht="12" x14ac:dyDescent="0.25">
      <c r="A30" s="19" t="s">
        <v>43</v>
      </c>
      <c r="B30" s="37">
        <f>SUM(B31:B37)</f>
        <v>0</v>
      </c>
      <c r="C30" s="21">
        <f t="shared" si="7"/>
        <v>0</v>
      </c>
      <c r="D30" s="21">
        <f t="shared" si="8"/>
        <v>0</v>
      </c>
      <c r="E30" s="21">
        <f t="shared" si="9"/>
        <v>0</v>
      </c>
      <c r="F30" s="21">
        <f t="shared" si="10"/>
        <v>0</v>
      </c>
      <c r="G30" s="31">
        <f>SUM(G31:G37)</f>
        <v>0</v>
      </c>
      <c r="H30" s="23">
        <f t="shared" ref="H30:S30" si="13">SUM(H31:H37)</f>
        <v>0</v>
      </c>
      <c r="I30" s="23">
        <f t="shared" si="13"/>
        <v>0</v>
      </c>
      <c r="J30" s="23">
        <f t="shared" si="13"/>
        <v>0</v>
      </c>
      <c r="K30" s="24">
        <f t="shared" si="13"/>
        <v>0</v>
      </c>
      <c r="L30" s="24">
        <f t="shared" si="13"/>
        <v>0</v>
      </c>
      <c r="M30" s="24">
        <f t="shared" si="13"/>
        <v>0</v>
      </c>
      <c r="N30" s="24">
        <f t="shared" si="13"/>
        <v>0</v>
      </c>
      <c r="O30" s="24">
        <f t="shared" si="13"/>
        <v>0</v>
      </c>
      <c r="P30" s="24">
        <f t="shared" si="13"/>
        <v>0</v>
      </c>
      <c r="Q30" s="24">
        <f t="shared" si="13"/>
        <v>0</v>
      </c>
      <c r="R30" s="24">
        <f t="shared" si="13"/>
        <v>0</v>
      </c>
      <c r="S30" s="24">
        <f t="shared" si="13"/>
        <v>0</v>
      </c>
    </row>
    <row r="31" spans="1:19" x14ac:dyDescent="0.2">
      <c r="A31" s="38" t="s">
        <v>44</v>
      </c>
      <c r="B31" s="45"/>
      <c r="C31" s="13">
        <f t="shared" si="7"/>
        <v>0</v>
      </c>
      <c r="D31" s="13">
        <f t="shared" si="8"/>
        <v>0</v>
      </c>
      <c r="E31" s="13">
        <f t="shared" si="9"/>
        <v>0</v>
      </c>
      <c r="F31" s="13" t="str">
        <f t="shared" si="10"/>
        <v/>
      </c>
      <c r="G31" s="46"/>
      <c r="H31" s="47"/>
      <c r="I31" s="47"/>
      <c r="J31" s="47"/>
      <c r="K31" s="32"/>
      <c r="L31" s="32"/>
      <c r="M31" s="32"/>
      <c r="N31" s="32"/>
      <c r="O31" s="32"/>
      <c r="P31" s="32"/>
      <c r="Q31" s="32"/>
      <c r="R31" s="32"/>
      <c r="S31" s="32"/>
    </row>
    <row r="32" spans="1:19" x14ac:dyDescent="0.2">
      <c r="A32" s="38" t="s">
        <v>45</v>
      </c>
      <c r="B32" s="45"/>
      <c r="C32" s="13">
        <f t="shared" si="7"/>
        <v>0</v>
      </c>
      <c r="D32" s="13">
        <f t="shared" si="8"/>
        <v>0</v>
      </c>
      <c r="E32" s="13">
        <f t="shared" si="9"/>
        <v>0</v>
      </c>
      <c r="F32" s="13"/>
      <c r="G32" s="46"/>
      <c r="H32" s="47"/>
      <c r="I32" s="47"/>
      <c r="J32" s="47"/>
      <c r="K32" s="32"/>
      <c r="L32" s="32"/>
      <c r="M32" s="32"/>
      <c r="N32" s="32"/>
      <c r="O32" s="32"/>
      <c r="P32" s="32"/>
      <c r="Q32" s="32"/>
      <c r="R32" s="32"/>
      <c r="S32" s="32"/>
    </row>
    <row r="33" spans="1:19" x14ac:dyDescent="0.2">
      <c r="A33" s="38" t="s">
        <v>46</v>
      </c>
      <c r="B33" s="45"/>
      <c r="C33" s="13">
        <f t="shared" si="7"/>
        <v>0</v>
      </c>
      <c r="D33" s="13">
        <f t="shared" si="8"/>
        <v>0</v>
      </c>
      <c r="E33" s="13">
        <f t="shared" si="9"/>
        <v>0</v>
      </c>
      <c r="F33" s="13"/>
      <c r="G33" s="46"/>
      <c r="H33" s="47"/>
      <c r="I33" s="47"/>
      <c r="J33" s="47"/>
      <c r="K33" s="32"/>
      <c r="L33" s="32"/>
      <c r="M33" s="32"/>
      <c r="N33" s="32"/>
      <c r="O33" s="32"/>
      <c r="P33" s="32"/>
      <c r="Q33" s="32"/>
      <c r="R33" s="32"/>
      <c r="S33" s="32"/>
    </row>
    <row r="34" spans="1:19" x14ac:dyDescent="0.2">
      <c r="A34" s="38" t="s">
        <v>47</v>
      </c>
      <c r="B34" s="45"/>
      <c r="C34" s="13">
        <f t="shared" si="7"/>
        <v>0</v>
      </c>
      <c r="D34" s="13">
        <f t="shared" si="8"/>
        <v>0</v>
      </c>
      <c r="E34" s="13">
        <f t="shared" si="9"/>
        <v>0</v>
      </c>
      <c r="F34" s="13"/>
      <c r="G34" s="46"/>
      <c r="H34" s="47"/>
      <c r="I34" s="47"/>
      <c r="J34" s="47"/>
      <c r="K34" s="32"/>
      <c r="L34" s="32"/>
      <c r="M34" s="32"/>
      <c r="N34" s="32"/>
      <c r="O34" s="32"/>
      <c r="P34" s="32"/>
      <c r="Q34" s="32"/>
      <c r="R34" s="32"/>
      <c r="S34" s="32"/>
    </row>
    <row r="35" spans="1:19" x14ac:dyDescent="0.2">
      <c r="A35" s="38" t="s">
        <v>48</v>
      </c>
      <c r="B35" s="45"/>
      <c r="C35" s="13">
        <f t="shared" si="7"/>
        <v>0</v>
      </c>
      <c r="D35" s="13">
        <f t="shared" si="8"/>
        <v>0</v>
      </c>
      <c r="E35" s="13">
        <f t="shared" si="9"/>
        <v>0</v>
      </c>
      <c r="F35" s="13"/>
      <c r="G35" s="46"/>
      <c r="H35" s="47"/>
      <c r="I35" s="47"/>
      <c r="J35" s="47"/>
      <c r="K35" s="32"/>
      <c r="L35" s="32"/>
      <c r="M35" s="32"/>
      <c r="N35" s="32"/>
      <c r="O35" s="32"/>
      <c r="P35" s="32"/>
      <c r="Q35" s="32"/>
      <c r="R35" s="32"/>
      <c r="S35" s="32"/>
    </row>
    <row r="36" spans="1:19" x14ac:dyDescent="0.2">
      <c r="A36" s="38" t="s">
        <v>49</v>
      </c>
      <c r="B36" s="45"/>
      <c r="C36" s="13">
        <f t="shared" si="7"/>
        <v>0</v>
      </c>
      <c r="D36" s="13">
        <f t="shared" si="8"/>
        <v>0</v>
      </c>
      <c r="E36" s="13">
        <f t="shared" si="9"/>
        <v>0</v>
      </c>
      <c r="F36" s="13" t="str">
        <f t="shared" si="10"/>
        <v/>
      </c>
      <c r="G36" s="46"/>
      <c r="H36" s="47"/>
      <c r="I36" s="47"/>
      <c r="J36" s="47"/>
      <c r="K36" s="32"/>
      <c r="L36" s="32"/>
      <c r="M36" s="32"/>
      <c r="N36" s="32"/>
      <c r="O36" s="32"/>
      <c r="P36" s="32"/>
      <c r="Q36" s="32"/>
      <c r="R36" s="32"/>
      <c r="S36" s="32"/>
    </row>
    <row r="37" spans="1:19" x14ac:dyDescent="0.2">
      <c r="A37" s="38" t="s">
        <v>50</v>
      </c>
      <c r="B37" s="45"/>
      <c r="C37" s="13">
        <f t="shared" si="7"/>
        <v>0</v>
      </c>
      <c r="D37" s="13">
        <f t="shared" si="8"/>
        <v>0</v>
      </c>
      <c r="E37" s="13">
        <f t="shared" si="9"/>
        <v>0</v>
      </c>
      <c r="F37" s="13"/>
      <c r="G37" s="46"/>
      <c r="H37" s="47"/>
      <c r="I37" s="47"/>
      <c r="J37" s="47"/>
      <c r="K37" s="32"/>
      <c r="L37" s="32"/>
      <c r="M37" s="32"/>
      <c r="N37" s="32"/>
      <c r="O37" s="32"/>
      <c r="P37" s="32"/>
      <c r="Q37" s="32"/>
      <c r="R37" s="32"/>
      <c r="S37" s="32"/>
    </row>
    <row r="38" spans="1:19" x14ac:dyDescent="0.2">
      <c r="A38" s="11"/>
      <c r="B38" s="45"/>
      <c r="C38" s="13"/>
      <c r="D38" s="13"/>
      <c r="E38" s="13"/>
      <c r="F38" s="13"/>
      <c r="G38" s="46"/>
      <c r="H38" s="47"/>
      <c r="I38" s="47"/>
      <c r="J38" s="47"/>
      <c r="K38" s="32"/>
      <c r="L38" s="32"/>
      <c r="M38" s="32"/>
      <c r="N38" s="32"/>
      <c r="O38" s="32"/>
      <c r="P38" s="32"/>
      <c r="Q38" s="32"/>
      <c r="R38" s="32"/>
      <c r="S38" s="32"/>
    </row>
    <row r="39" spans="1:19" s="25" customFormat="1" ht="12" x14ac:dyDescent="0.25">
      <c r="A39" s="19" t="s">
        <v>51</v>
      </c>
      <c r="B39" s="21">
        <f>SUM(B40:B43)</f>
        <v>149452</v>
      </c>
      <c r="C39" s="21">
        <f t="shared" si="7"/>
        <v>99726</v>
      </c>
      <c r="D39" s="21">
        <f t="shared" si="8"/>
        <v>49726</v>
      </c>
      <c r="E39" s="21">
        <f t="shared" si="9"/>
        <v>149452</v>
      </c>
      <c r="F39" s="21">
        <f>IF(OR($A39="",NOT(ISNUMBER($B39))),"",B39-E39)</f>
        <v>0</v>
      </c>
      <c r="G39" s="31">
        <f>SUM(G40:G43)</f>
        <v>0</v>
      </c>
      <c r="H39" s="23">
        <f t="shared" ref="H39:S39" si="14">SUM(H40:H43)</f>
        <v>50000</v>
      </c>
      <c r="I39" s="23">
        <f t="shared" si="14"/>
        <v>0</v>
      </c>
      <c r="J39" s="23">
        <f t="shared" si="14"/>
        <v>49726</v>
      </c>
      <c r="K39" s="24">
        <f t="shared" si="14"/>
        <v>0</v>
      </c>
      <c r="L39" s="24">
        <f t="shared" si="14"/>
        <v>49726</v>
      </c>
      <c r="M39" s="24">
        <f t="shared" si="14"/>
        <v>0</v>
      </c>
      <c r="N39" s="24">
        <f t="shared" si="14"/>
        <v>0</v>
      </c>
      <c r="O39" s="24">
        <f t="shared" si="14"/>
        <v>0</v>
      </c>
      <c r="P39" s="24">
        <f t="shared" si="14"/>
        <v>0</v>
      </c>
      <c r="Q39" s="24">
        <f t="shared" si="14"/>
        <v>0</v>
      </c>
      <c r="R39" s="24">
        <f t="shared" si="14"/>
        <v>0</v>
      </c>
      <c r="S39" s="24">
        <f t="shared" si="14"/>
        <v>0</v>
      </c>
    </row>
    <row r="40" spans="1:19" s="44" customFormat="1" ht="10.199999999999999" x14ac:dyDescent="0.2">
      <c r="A40" s="48" t="s">
        <v>52</v>
      </c>
      <c r="B40" s="39"/>
      <c r="C40" s="40">
        <f t="shared" si="7"/>
        <v>0</v>
      </c>
      <c r="D40" s="40">
        <f t="shared" si="8"/>
        <v>0</v>
      </c>
      <c r="E40" s="40">
        <f t="shared" si="9"/>
        <v>0</v>
      </c>
      <c r="F40" s="40" t="str">
        <f t="shared" si="10"/>
        <v/>
      </c>
      <c r="G40" s="41"/>
      <c r="H40" s="42"/>
      <c r="I40" s="42"/>
      <c r="J40" s="42"/>
      <c r="K40" s="43"/>
      <c r="L40" s="43"/>
      <c r="M40" s="43"/>
      <c r="N40" s="43"/>
      <c r="O40" s="43"/>
      <c r="P40" s="43"/>
      <c r="Q40" s="43"/>
      <c r="R40" s="43"/>
      <c r="S40" s="43"/>
    </row>
    <row r="41" spans="1:19" s="44" customFormat="1" ht="10.199999999999999" x14ac:dyDescent="0.2">
      <c r="A41" s="48" t="s">
        <v>53</v>
      </c>
      <c r="B41" s="40">
        <f>49726*2</f>
        <v>99452</v>
      </c>
      <c r="C41" s="40">
        <f t="shared" si="7"/>
        <v>49726</v>
      </c>
      <c r="D41" s="40">
        <f t="shared" si="8"/>
        <v>49726</v>
      </c>
      <c r="E41" s="40">
        <f t="shared" si="9"/>
        <v>99452</v>
      </c>
      <c r="F41" s="40">
        <f t="shared" si="10"/>
        <v>0</v>
      </c>
      <c r="G41" s="41"/>
      <c r="H41" s="42"/>
      <c r="I41" s="42"/>
      <c r="J41" s="42">
        <v>49726</v>
      </c>
      <c r="K41" s="43"/>
      <c r="L41" s="43">
        <v>49726</v>
      </c>
      <c r="M41" s="43"/>
      <c r="N41" s="43"/>
      <c r="O41" s="43"/>
      <c r="P41" s="43"/>
      <c r="Q41" s="43"/>
      <c r="R41" s="43"/>
      <c r="S41" s="43"/>
    </row>
    <row r="42" spans="1:19" s="44" customFormat="1" ht="10.199999999999999" x14ac:dyDescent="0.2">
      <c r="A42" s="48" t="s">
        <v>54</v>
      </c>
      <c r="B42" s="39"/>
      <c r="C42" s="40">
        <f t="shared" si="7"/>
        <v>0</v>
      </c>
      <c r="D42" s="40">
        <f t="shared" si="8"/>
        <v>0</v>
      </c>
      <c r="E42" s="40">
        <f t="shared" si="9"/>
        <v>0</v>
      </c>
      <c r="F42" s="40" t="str">
        <f t="shared" si="10"/>
        <v/>
      </c>
      <c r="G42" s="41"/>
      <c r="H42" s="42"/>
      <c r="I42" s="42"/>
      <c r="J42" s="42"/>
      <c r="K42" s="43"/>
      <c r="L42" s="43"/>
      <c r="M42" s="43"/>
      <c r="N42" s="43"/>
      <c r="O42" s="43"/>
      <c r="P42" s="43"/>
      <c r="Q42" s="43"/>
      <c r="R42" s="43"/>
      <c r="S42" s="43"/>
    </row>
    <row r="43" spans="1:19" s="44" customFormat="1" ht="10.199999999999999" x14ac:dyDescent="0.2">
      <c r="A43" s="48" t="s">
        <v>55</v>
      </c>
      <c r="B43" s="40">
        <v>50000</v>
      </c>
      <c r="C43" s="40">
        <f t="shared" si="7"/>
        <v>50000</v>
      </c>
      <c r="D43" s="40">
        <f t="shared" si="8"/>
        <v>0</v>
      </c>
      <c r="E43" s="40">
        <f t="shared" si="9"/>
        <v>50000</v>
      </c>
      <c r="F43" s="40">
        <f t="shared" si="10"/>
        <v>0</v>
      </c>
      <c r="G43" s="41"/>
      <c r="H43" s="42">
        <v>50000</v>
      </c>
      <c r="I43" s="42"/>
      <c r="J43" s="42"/>
      <c r="K43" s="43"/>
      <c r="L43" s="43"/>
      <c r="M43" s="43"/>
      <c r="N43" s="43"/>
      <c r="O43" s="43"/>
      <c r="P43" s="43"/>
      <c r="Q43" s="43"/>
      <c r="R43" s="43"/>
      <c r="S43" s="43"/>
    </row>
    <row r="44" spans="1:19" x14ac:dyDescent="0.2">
      <c r="A44" s="11"/>
      <c r="B44" s="45"/>
      <c r="C44" s="13"/>
      <c r="D44" s="13"/>
      <c r="E44" s="13"/>
      <c r="F44" s="13"/>
      <c r="G44" s="46"/>
      <c r="H44" s="47"/>
      <c r="I44" s="47"/>
      <c r="J44" s="47"/>
      <c r="K44" s="32"/>
      <c r="L44" s="32"/>
      <c r="M44" s="32"/>
      <c r="N44" s="32"/>
      <c r="O44" s="32"/>
      <c r="P44" s="32"/>
      <c r="Q44" s="32"/>
      <c r="R44" s="32"/>
      <c r="S44" s="32"/>
    </row>
    <row r="45" spans="1:19" s="25" customFormat="1" ht="12" x14ac:dyDescent="0.25">
      <c r="A45" s="19" t="s">
        <v>56</v>
      </c>
      <c r="B45" s="37"/>
      <c r="C45" s="21">
        <f t="shared" si="7"/>
        <v>0</v>
      </c>
      <c r="D45" s="21">
        <f t="shared" si="8"/>
        <v>0</v>
      </c>
      <c r="E45" s="21">
        <f t="shared" si="9"/>
        <v>0</v>
      </c>
      <c r="F45" s="21" t="str">
        <f t="shared" si="10"/>
        <v/>
      </c>
      <c r="G45" s="31"/>
      <c r="H45" s="23"/>
      <c r="I45" s="23"/>
      <c r="J45" s="23"/>
      <c r="K45" s="24"/>
      <c r="L45" s="24"/>
      <c r="M45" s="24"/>
      <c r="N45" s="24"/>
      <c r="O45" s="24"/>
      <c r="P45" s="24"/>
      <c r="Q45" s="24"/>
      <c r="R45" s="24"/>
      <c r="S45" s="24"/>
    </row>
    <row r="46" spans="1:19" x14ac:dyDescent="0.2">
      <c r="A46" s="11"/>
      <c r="B46" s="45"/>
      <c r="C46" s="13"/>
      <c r="D46" s="13"/>
      <c r="E46" s="13"/>
      <c r="F46" s="13"/>
      <c r="G46" s="46"/>
      <c r="H46" s="47"/>
      <c r="I46" s="47"/>
      <c r="J46" s="47"/>
      <c r="K46" s="32"/>
      <c r="L46" s="32"/>
      <c r="M46" s="32"/>
      <c r="N46" s="32"/>
      <c r="O46" s="32"/>
      <c r="P46" s="32"/>
      <c r="Q46" s="32"/>
      <c r="R46" s="32"/>
      <c r="S46" s="32"/>
    </row>
    <row r="47" spans="1:19" s="25" customFormat="1" ht="12" x14ac:dyDescent="0.25">
      <c r="A47" s="19" t="s">
        <v>57</v>
      </c>
      <c r="B47" s="37"/>
      <c r="C47" s="21">
        <f t="shared" si="7"/>
        <v>0</v>
      </c>
      <c r="D47" s="21">
        <f t="shared" si="8"/>
        <v>0</v>
      </c>
      <c r="E47" s="21">
        <f t="shared" si="9"/>
        <v>0</v>
      </c>
      <c r="F47" s="21" t="str">
        <f t="shared" si="10"/>
        <v/>
      </c>
      <c r="G47" s="31"/>
      <c r="H47" s="23"/>
      <c r="I47" s="23"/>
      <c r="J47" s="23"/>
      <c r="K47" s="24"/>
      <c r="L47" s="24"/>
      <c r="M47" s="24"/>
      <c r="N47" s="24"/>
      <c r="O47" s="24"/>
      <c r="P47" s="24"/>
      <c r="Q47" s="24"/>
      <c r="R47" s="24"/>
      <c r="S47" s="24"/>
    </row>
    <row r="48" spans="1:19" x14ac:dyDescent="0.2">
      <c r="A48" s="11"/>
      <c r="B48" s="45"/>
      <c r="C48" s="13"/>
      <c r="D48" s="13"/>
      <c r="E48" s="13"/>
      <c r="F48" s="13"/>
      <c r="G48" s="46"/>
      <c r="H48" s="47"/>
      <c r="I48" s="47"/>
      <c r="J48" s="47"/>
      <c r="K48" s="32"/>
      <c r="L48" s="32"/>
      <c r="M48" s="32"/>
      <c r="N48" s="32"/>
      <c r="O48" s="32"/>
      <c r="P48" s="32"/>
      <c r="Q48" s="32"/>
      <c r="R48" s="32"/>
      <c r="S48" s="32"/>
    </row>
    <row r="49" spans="1:19" s="25" customFormat="1" ht="12" x14ac:dyDescent="0.25">
      <c r="A49" s="19" t="s">
        <v>58</v>
      </c>
      <c r="B49" s="37"/>
      <c r="C49" s="21">
        <f t="shared" si="7"/>
        <v>0</v>
      </c>
      <c r="D49" s="21">
        <f t="shared" si="8"/>
        <v>0</v>
      </c>
      <c r="E49" s="21">
        <f t="shared" si="9"/>
        <v>0</v>
      </c>
      <c r="F49" s="21" t="str">
        <f t="shared" si="10"/>
        <v/>
      </c>
      <c r="G49" s="31"/>
      <c r="H49" s="23"/>
      <c r="I49" s="23"/>
      <c r="J49" s="23"/>
      <c r="K49" s="24"/>
      <c r="L49" s="24"/>
      <c r="M49" s="24"/>
      <c r="N49" s="24"/>
      <c r="O49" s="24"/>
      <c r="P49" s="24"/>
      <c r="Q49" s="24"/>
      <c r="R49" s="24"/>
      <c r="S49" s="24"/>
    </row>
    <row r="50" spans="1:19" x14ac:dyDescent="0.2">
      <c r="A50" s="11"/>
      <c r="B50" s="45"/>
      <c r="C50" s="13"/>
      <c r="D50" s="13"/>
      <c r="E50" s="13"/>
      <c r="F50" s="13"/>
      <c r="G50" s="46"/>
      <c r="H50" s="47"/>
      <c r="I50" s="47"/>
      <c r="J50" s="47"/>
      <c r="K50" s="32"/>
      <c r="L50" s="32"/>
      <c r="M50" s="32"/>
      <c r="N50" s="32"/>
      <c r="O50" s="32"/>
      <c r="P50" s="32"/>
      <c r="Q50" s="32"/>
      <c r="R50" s="32"/>
      <c r="S50" s="32"/>
    </row>
    <row r="51" spans="1:19" s="25" customFormat="1" ht="12" x14ac:dyDescent="0.25">
      <c r="A51" s="19" t="s">
        <v>59</v>
      </c>
      <c r="B51" s="37"/>
      <c r="C51" s="21">
        <f t="shared" si="7"/>
        <v>0</v>
      </c>
      <c r="D51" s="21">
        <f t="shared" si="8"/>
        <v>0</v>
      </c>
      <c r="E51" s="21">
        <f t="shared" si="9"/>
        <v>0</v>
      </c>
      <c r="F51" s="21" t="str">
        <f t="shared" si="10"/>
        <v/>
      </c>
      <c r="G51" s="31"/>
      <c r="H51" s="23"/>
      <c r="I51" s="23"/>
      <c r="J51" s="23"/>
      <c r="K51" s="24"/>
      <c r="L51" s="24"/>
      <c r="M51" s="24"/>
      <c r="N51" s="24"/>
      <c r="O51" s="24"/>
      <c r="P51" s="24"/>
      <c r="Q51" s="24"/>
      <c r="R51" s="24"/>
      <c r="S51" s="24"/>
    </row>
    <row r="52" spans="1:19" x14ac:dyDescent="0.2">
      <c r="A52" s="11"/>
      <c r="B52" s="45"/>
      <c r="C52" s="13"/>
      <c r="D52" s="13"/>
      <c r="E52" s="13"/>
      <c r="F52" s="13"/>
      <c r="G52" s="46"/>
      <c r="H52" s="47"/>
      <c r="I52" s="47"/>
      <c r="J52" s="47"/>
      <c r="K52" s="32"/>
      <c r="L52" s="32"/>
      <c r="M52" s="32"/>
      <c r="N52" s="32"/>
      <c r="O52" s="32"/>
      <c r="P52" s="32"/>
      <c r="Q52" s="32"/>
      <c r="R52" s="32"/>
      <c r="S52" s="32"/>
    </row>
    <row r="53" spans="1:19" s="25" customFormat="1" ht="12" x14ac:dyDescent="0.25">
      <c r="A53" s="19" t="s">
        <v>60</v>
      </c>
      <c r="B53" s="37"/>
      <c r="C53" s="21">
        <f t="shared" si="7"/>
        <v>0</v>
      </c>
      <c r="D53" s="21">
        <f t="shared" si="8"/>
        <v>0</v>
      </c>
      <c r="E53" s="21">
        <f t="shared" si="9"/>
        <v>0</v>
      </c>
      <c r="F53" s="21" t="str">
        <f t="shared" si="10"/>
        <v/>
      </c>
      <c r="G53" s="31"/>
      <c r="H53" s="23"/>
      <c r="I53" s="23"/>
      <c r="J53" s="23"/>
      <c r="K53" s="24"/>
      <c r="L53" s="24"/>
      <c r="M53" s="24"/>
      <c r="N53" s="24"/>
      <c r="O53" s="24"/>
      <c r="P53" s="24"/>
      <c r="Q53" s="24"/>
      <c r="R53" s="24"/>
      <c r="S53" s="24"/>
    </row>
    <row r="54" spans="1:19" x14ac:dyDescent="0.2">
      <c r="A54" s="11"/>
      <c r="B54" s="45"/>
      <c r="C54" s="13"/>
      <c r="D54" s="13"/>
      <c r="E54" s="13"/>
      <c r="F54" s="13"/>
      <c r="G54" s="46"/>
      <c r="H54" s="47"/>
      <c r="I54" s="47"/>
      <c r="J54" s="47"/>
      <c r="K54" s="32"/>
      <c r="L54" s="32"/>
      <c r="M54" s="32"/>
      <c r="N54" s="32"/>
      <c r="O54" s="32"/>
      <c r="P54" s="32"/>
      <c r="Q54" s="32"/>
      <c r="R54" s="32"/>
      <c r="S54" s="32"/>
    </row>
    <row r="55" spans="1:19" s="25" customFormat="1" ht="12" x14ac:dyDescent="0.25">
      <c r="A55" s="19" t="s">
        <v>61</v>
      </c>
      <c r="B55" s="37"/>
      <c r="C55" s="21">
        <f t="shared" si="7"/>
        <v>0</v>
      </c>
      <c r="D55" s="21">
        <f t="shared" si="8"/>
        <v>0</v>
      </c>
      <c r="E55" s="21">
        <f t="shared" si="9"/>
        <v>0</v>
      </c>
      <c r="F55" s="21" t="str">
        <f t="shared" si="10"/>
        <v/>
      </c>
      <c r="G55" s="31"/>
      <c r="H55" s="23">
        <v>0</v>
      </c>
      <c r="I55" s="23"/>
      <c r="J55" s="23"/>
      <c r="K55" s="24"/>
      <c r="L55" s="24"/>
      <c r="M55" s="24"/>
      <c r="N55" s="24"/>
      <c r="O55" s="24"/>
      <c r="P55" s="24"/>
      <c r="Q55" s="24"/>
      <c r="R55" s="24"/>
      <c r="S55" s="24"/>
    </row>
    <row r="56" spans="1:19" x14ac:dyDescent="0.2">
      <c r="A56" s="11"/>
      <c r="B56" s="45"/>
      <c r="C56" s="13"/>
      <c r="D56" s="13"/>
      <c r="E56" s="13"/>
      <c r="F56" s="13"/>
      <c r="G56" s="46"/>
      <c r="H56" s="47"/>
      <c r="I56" s="47"/>
      <c r="J56" s="47"/>
      <c r="K56" s="32"/>
      <c r="L56" s="32"/>
      <c r="M56" s="32"/>
      <c r="N56" s="32"/>
      <c r="O56" s="32"/>
      <c r="P56" s="32"/>
      <c r="Q56" s="32"/>
      <c r="R56" s="32"/>
      <c r="S56" s="32"/>
    </row>
    <row r="57" spans="1:19" s="25" customFormat="1" ht="12" x14ac:dyDescent="0.25">
      <c r="A57" s="19" t="s">
        <v>62</v>
      </c>
      <c r="B57" s="37"/>
      <c r="C57" s="21">
        <f t="shared" si="7"/>
        <v>0</v>
      </c>
      <c r="D57" s="21">
        <f t="shared" si="8"/>
        <v>0</v>
      </c>
      <c r="E57" s="21">
        <f t="shared" si="9"/>
        <v>0</v>
      </c>
      <c r="F57" s="21" t="str">
        <f t="shared" si="10"/>
        <v/>
      </c>
      <c r="G57" s="31"/>
      <c r="H57" s="23"/>
      <c r="I57" s="23"/>
      <c r="J57" s="23"/>
      <c r="K57" s="24"/>
      <c r="L57" s="24"/>
      <c r="M57" s="24"/>
      <c r="N57" s="24"/>
      <c r="O57" s="24"/>
      <c r="P57" s="24"/>
      <c r="Q57" s="24"/>
      <c r="R57" s="24"/>
      <c r="S57" s="24"/>
    </row>
    <row r="58" spans="1:19" s="25" customFormat="1" ht="12" x14ac:dyDescent="0.25">
      <c r="A58" s="19"/>
      <c r="B58" s="37"/>
      <c r="C58" s="21"/>
      <c r="D58" s="21"/>
      <c r="E58" s="21"/>
      <c r="F58" s="21"/>
      <c r="G58" s="31"/>
      <c r="H58" s="23"/>
      <c r="I58" s="23"/>
      <c r="J58" s="23"/>
      <c r="K58" s="24"/>
      <c r="L58" s="24"/>
      <c r="M58" s="24"/>
      <c r="N58" s="24"/>
      <c r="O58" s="24"/>
      <c r="P58" s="24"/>
      <c r="Q58" s="24"/>
      <c r="R58" s="24"/>
      <c r="S58" s="24"/>
    </row>
    <row r="59" spans="1:19" s="25" customFormat="1" ht="12" x14ac:dyDescent="0.25">
      <c r="A59" s="19" t="s">
        <v>63</v>
      </c>
      <c r="B59" s="37"/>
      <c r="C59" s="21"/>
      <c r="D59" s="21"/>
      <c r="E59" s="21"/>
      <c r="F59" s="21"/>
      <c r="G59" s="31"/>
      <c r="H59" s="23"/>
      <c r="I59" s="23"/>
      <c r="J59" s="23"/>
      <c r="K59" s="24"/>
      <c r="L59" s="24"/>
      <c r="M59" s="24"/>
      <c r="N59" s="24"/>
      <c r="O59" s="24"/>
      <c r="P59" s="24"/>
      <c r="Q59" s="24"/>
      <c r="R59" s="24"/>
      <c r="S59" s="24"/>
    </row>
    <row r="60" spans="1:19" s="25" customFormat="1" ht="12" x14ac:dyDescent="0.25">
      <c r="A60" s="19"/>
      <c r="B60" s="37"/>
      <c r="C60" s="21"/>
      <c r="D60" s="21"/>
      <c r="E60" s="21"/>
      <c r="F60" s="21"/>
      <c r="G60" s="31"/>
      <c r="H60" s="23"/>
      <c r="I60" s="23"/>
      <c r="J60" s="23"/>
      <c r="K60" s="24"/>
      <c r="L60" s="24"/>
      <c r="M60" s="24"/>
      <c r="N60" s="24"/>
      <c r="O60" s="24"/>
      <c r="P60" s="24"/>
      <c r="Q60" s="24"/>
      <c r="R60" s="24"/>
      <c r="S60" s="24"/>
    </row>
    <row r="61" spans="1:19" ht="12" x14ac:dyDescent="0.25">
      <c r="A61" s="16" t="s">
        <v>64</v>
      </c>
      <c r="B61" s="20">
        <f>149452+114998.85+147500</f>
        <v>411950.85</v>
      </c>
      <c r="C61" s="17">
        <f t="shared" si="7"/>
        <v>237558.95</v>
      </c>
      <c r="D61" s="17">
        <f t="shared" si="8"/>
        <v>174391.90000000002</v>
      </c>
      <c r="E61" s="17">
        <f t="shared" si="9"/>
        <v>411950.85000000003</v>
      </c>
      <c r="F61" s="17">
        <f t="shared" si="10"/>
        <v>-5.8207660913467407E-11</v>
      </c>
      <c r="G61" s="49">
        <f t="shared" ref="G61:S61" si="15">SUM(G12:G57)/2</f>
        <v>37250</v>
      </c>
      <c r="H61" s="49">
        <f t="shared" si="15"/>
        <v>150582.95000000001</v>
      </c>
      <c r="I61" s="49">
        <f t="shared" si="15"/>
        <v>0</v>
      </c>
      <c r="J61" s="49">
        <f t="shared" si="15"/>
        <v>49726</v>
      </c>
      <c r="K61" s="50">
        <f t="shared" si="15"/>
        <v>38332.949999999997</v>
      </c>
      <c r="L61" s="50">
        <f t="shared" si="15"/>
        <v>97726</v>
      </c>
      <c r="M61" s="50">
        <f t="shared" si="15"/>
        <v>0</v>
      </c>
      <c r="N61" s="50">
        <f t="shared" si="15"/>
        <v>38332.949999999997</v>
      </c>
      <c r="O61" s="50">
        <f t="shared" si="15"/>
        <v>0</v>
      </c>
      <c r="P61" s="50">
        <f t="shared" si="15"/>
        <v>0</v>
      </c>
      <c r="Q61" s="50">
        <f t="shared" si="15"/>
        <v>0</v>
      </c>
      <c r="R61" s="50">
        <f t="shared" si="15"/>
        <v>0</v>
      </c>
      <c r="S61" s="50">
        <f t="shared" si="15"/>
        <v>0</v>
      </c>
    </row>
    <row r="63" spans="1:19" ht="17.399999999999999" x14ac:dyDescent="0.35">
      <c r="A63" s="51" t="s">
        <v>65</v>
      </c>
      <c r="B63" s="51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</row>
    <row r="64" spans="1:19" s="44" customFormat="1" ht="10.199999999999999" x14ac:dyDescent="0.2">
      <c r="A64" s="53" t="s">
        <v>66</v>
      </c>
      <c r="B64" s="53" t="s">
        <v>67</v>
      </c>
      <c r="C64" s="54" t="s">
        <v>21</v>
      </c>
      <c r="D64" s="54" t="s">
        <v>22</v>
      </c>
      <c r="E64" s="54" t="s">
        <v>26</v>
      </c>
      <c r="F64" s="54" t="s">
        <v>68</v>
      </c>
      <c r="G64" s="55">
        <f>$G$5</f>
        <v>46204</v>
      </c>
      <c r="H64" s="55" t="str">
        <f>$H$5</f>
        <v>Aug-26</v>
      </c>
      <c r="I64" s="55" t="str">
        <f>$I$5</f>
        <v>Sep-26</v>
      </c>
      <c r="J64" s="55" t="str">
        <f>$J$5</f>
        <v>Oct-26</v>
      </c>
      <c r="K64" s="55" t="str">
        <f>$K$5</f>
        <v>Nov-26</v>
      </c>
      <c r="L64" s="55" t="str">
        <f>$L$5</f>
        <v>Dec-26</v>
      </c>
      <c r="M64" s="55" t="str">
        <f>$M$5</f>
        <v>Jan-27</v>
      </c>
      <c r="N64" s="55" t="str">
        <f>$N$5</f>
        <v>Feb-27</v>
      </c>
      <c r="O64" s="55" t="str">
        <f>$O$5</f>
        <v>Mar-27</v>
      </c>
      <c r="P64" s="55" t="str">
        <f>$P$5</f>
        <v>Apr-27</v>
      </c>
      <c r="Q64" s="55" t="str">
        <f>$Q$5</f>
        <v>May-27</v>
      </c>
      <c r="R64" s="55" t="str">
        <f>$R$5</f>
        <v>Jun-27</v>
      </c>
      <c r="S64" s="55" t="str">
        <f>$S$5</f>
        <v>Jul-27</v>
      </c>
    </row>
    <row r="65" spans="1:19" s="44" customFormat="1" ht="10.199999999999999" x14ac:dyDescent="0.2">
      <c r="A65" s="53" t="s">
        <v>69</v>
      </c>
      <c r="B65" s="53" t="s">
        <v>70</v>
      </c>
      <c r="C65" s="54"/>
      <c r="D65" s="54"/>
      <c r="E65" s="54"/>
      <c r="F65" s="54" t="s">
        <v>71</v>
      </c>
      <c r="G65" s="56" t="str">
        <f>$G$11</f>
        <v>Actual</v>
      </c>
      <c r="H65" s="56" t="str">
        <f>$H$11</f>
        <v>Actual</v>
      </c>
      <c r="I65" s="56" t="str">
        <f>$I$11</f>
        <v>Actual</v>
      </c>
      <c r="J65" s="56" t="str">
        <f>$J$11</f>
        <v>Actual</v>
      </c>
      <c r="K65" s="56" t="str">
        <f>$K$11</f>
        <v>Forecast</v>
      </c>
      <c r="L65" s="56" t="str">
        <f>$L$11</f>
        <v>Forecast</v>
      </c>
      <c r="M65" s="56" t="str">
        <f>$M$11</f>
        <v>Forecast</v>
      </c>
      <c r="N65" s="56" t="str">
        <f>$N$11</f>
        <v>Forecast</v>
      </c>
      <c r="O65" s="56" t="str">
        <f>$O$11</f>
        <v>Forecast</v>
      </c>
      <c r="P65" s="56" t="str">
        <f>$P$11</f>
        <v>Forecast</v>
      </c>
      <c r="Q65" s="56" t="str">
        <f>$Q$11</f>
        <v>Forecast</v>
      </c>
      <c r="R65" s="56" t="str">
        <f>$R$11</f>
        <v>Forecast</v>
      </c>
      <c r="S65" s="56" t="str">
        <f>$S$11</f>
        <v>Forecast</v>
      </c>
    </row>
    <row r="66" spans="1:19" s="44" customFormat="1" ht="10.199999999999999" x14ac:dyDescent="0.2">
      <c r="A66" s="57" t="s">
        <v>72</v>
      </c>
      <c r="B66" s="57"/>
      <c r="C66" s="58">
        <f>SUM(G66:J66)</f>
        <v>237558.95</v>
      </c>
      <c r="D66" s="58">
        <f>SUM(K66:S66)</f>
        <v>174391.90000000002</v>
      </c>
      <c r="E66" s="58">
        <f>SUM(G66:S66)</f>
        <v>411950.85000000003</v>
      </c>
      <c r="F66" s="58"/>
      <c r="G66" s="59">
        <f>G$61</f>
        <v>37250</v>
      </c>
      <c r="H66" s="59">
        <f t="shared" ref="H66:S66" si="16">H$61</f>
        <v>150582.95000000001</v>
      </c>
      <c r="I66" s="59">
        <f t="shared" si="16"/>
        <v>0</v>
      </c>
      <c r="J66" s="59">
        <f t="shared" si="16"/>
        <v>49726</v>
      </c>
      <c r="K66" s="59">
        <f t="shared" si="16"/>
        <v>38332.949999999997</v>
      </c>
      <c r="L66" s="59">
        <f t="shared" si="16"/>
        <v>97726</v>
      </c>
      <c r="M66" s="59">
        <f t="shared" si="16"/>
        <v>0</v>
      </c>
      <c r="N66" s="59">
        <f t="shared" si="16"/>
        <v>38332.949999999997</v>
      </c>
      <c r="O66" s="59">
        <f t="shared" si="16"/>
        <v>0</v>
      </c>
      <c r="P66" s="59">
        <f t="shared" si="16"/>
        <v>0</v>
      </c>
      <c r="Q66" s="59">
        <f t="shared" si="16"/>
        <v>0</v>
      </c>
      <c r="R66" s="59">
        <f t="shared" si="16"/>
        <v>0</v>
      </c>
      <c r="S66" s="59">
        <f t="shared" si="16"/>
        <v>0</v>
      </c>
    </row>
    <row r="67" spans="1:19" s="44" customFormat="1" ht="10.199999999999999" x14ac:dyDescent="0.2">
      <c r="A67" s="57" t="s">
        <v>73</v>
      </c>
      <c r="B67" s="57"/>
      <c r="C67" s="58">
        <f>SUM(G67:J67)</f>
        <v>0</v>
      </c>
      <c r="D67" s="58">
        <f>SUM(K67:S67)</f>
        <v>0</v>
      </c>
      <c r="E67" s="58">
        <f>SUM(G67:S67)</f>
        <v>0</v>
      </c>
      <c r="F67" s="58"/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</row>
    <row r="68" spans="1:19" s="44" customFormat="1" ht="10.199999999999999" x14ac:dyDescent="0.2">
      <c r="A68" s="61" t="s">
        <v>74</v>
      </c>
      <c r="B68" s="61"/>
      <c r="C68" s="62">
        <f>SUM(G68:J68)</f>
        <v>237558.95</v>
      </c>
      <c r="D68" s="62">
        <f>SUM(K68:S68)</f>
        <v>174391.90000000002</v>
      </c>
      <c r="E68" s="62">
        <f>SUM(G68:S68)</f>
        <v>411950.85000000003</v>
      </c>
      <c r="F68" s="62"/>
      <c r="G68" s="63">
        <f>G66+G67</f>
        <v>37250</v>
      </c>
      <c r="H68" s="63">
        <f t="shared" ref="H68:S68" si="17">H66+H67</f>
        <v>150582.95000000001</v>
      </c>
      <c r="I68" s="63">
        <f t="shared" si="17"/>
        <v>0</v>
      </c>
      <c r="J68" s="63">
        <f t="shared" si="17"/>
        <v>49726</v>
      </c>
      <c r="K68" s="63">
        <f t="shared" si="17"/>
        <v>38332.949999999997</v>
      </c>
      <c r="L68" s="63">
        <f t="shared" si="17"/>
        <v>97726</v>
      </c>
      <c r="M68" s="63">
        <f t="shared" si="17"/>
        <v>0</v>
      </c>
      <c r="N68" s="63">
        <f t="shared" si="17"/>
        <v>38332.949999999997</v>
      </c>
      <c r="O68" s="63">
        <f t="shared" si="17"/>
        <v>0</v>
      </c>
      <c r="P68" s="63">
        <f t="shared" si="17"/>
        <v>0</v>
      </c>
      <c r="Q68" s="63">
        <f t="shared" si="17"/>
        <v>0</v>
      </c>
      <c r="R68" s="63">
        <f t="shared" si="17"/>
        <v>0</v>
      </c>
      <c r="S68" s="63">
        <f t="shared" si="17"/>
        <v>0</v>
      </c>
    </row>
    <row r="69" spans="1:19" s="44" customFormat="1" ht="10.199999999999999" x14ac:dyDescent="0.2">
      <c r="A69" s="64" t="s">
        <v>75</v>
      </c>
      <c r="B69" s="64" t="s">
        <v>76</v>
      </c>
      <c r="C69" s="65">
        <v>10000000</v>
      </c>
      <c r="D69" s="65" t="s">
        <v>77</v>
      </c>
      <c r="E69" s="65"/>
      <c r="F69" s="65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</row>
    <row r="70" spans="1:19" s="44" customFormat="1" ht="10.199999999999999" x14ac:dyDescent="0.2">
      <c r="A70" s="57" t="s">
        <v>78</v>
      </c>
      <c r="B70" s="57"/>
      <c r="C70" s="58"/>
      <c r="D70" s="58"/>
      <c r="E70" s="58"/>
      <c r="F70" s="58"/>
      <c r="G70" s="59">
        <v>0</v>
      </c>
      <c r="H70" s="59">
        <f>G73</f>
        <v>37250</v>
      </c>
      <c r="I70" s="59">
        <f t="shared" ref="I70:S70" si="18">H73</f>
        <v>187833</v>
      </c>
      <c r="J70" s="59">
        <f t="shared" si="18"/>
        <v>187833</v>
      </c>
      <c r="K70" s="59">
        <f t="shared" si="18"/>
        <v>237559</v>
      </c>
      <c r="L70" s="59">
        <f t="shared" si="18"/>
        <v>275892</v>
      </c>
      <c r="M70" s="59">
        <f t="shared" si="18"/>
        <v>373618</v>
      </c>
      <c r="N70" s="59">
        <f t="shared" si="18"/>
        <v>373618</v>
      </c>
      <c r="O70" s="59">
        <f t="shared" si="18"/>
        <v>411951</v>
      </c>
      <c r="P70" s="59">
        <f t="shared" si="18"/>
        <v>411951</v>
      </c>
      <c r="Q70" s="59">
        <f t="shared" si="18"/>
        <v>411951</v>
      </c>
      <c r="R70" s="59">
        <f t="shared" si="18"/>
        <v>411951</v>
      </c>
      <c r="S70" s="59">
        <f t="shared" si="18"/>
        <v>411951</v>
      </c>
    </row>
    <row r="71" spans="1:19" s="44" customFormat="1" ht="10.199999999999999" x14ac:dyDescent="0.2">
      <c r="A71" s="57" t="s">
        <v>79</v>
      </c>
      <c r="B71" s="57"/>
      <c r="C71" s="58">
        <f>SUM(G71:J71)</f>
        <v>237559</v>
      </c>
      <c r="D71" s="58">
        <f>SUM(K71:S71)</f>
        <v>174392</v>
      </c>
      <c r="E71" s="58">
        <f>SUM(G71:S71)</f>
        <v>411951</v>
      </c>
      <c r="F71" s="58"/>
      <c r="G71" s="60">
        <v>37250</v>
      </c>
      <c r="H71" s="60">
        <v>150583</v>
      </c>
      <c r="I71" s="60">
        <v>0</v>
      </c>
      <c r="J71" s="60">
        <v>49726</v>
      </c>
      <c r="K71" s="60">
        <v>38333</v>
      </c>
      <c r="L71" s="60">
        <v>97726</v>
      </c>
      <c r="M71" s="60">
        <v>0</v>
      </c>
      <c r="N71" s="60">
        <v>38333</v>
      </c>
      <c r="O71" s="60">
        <v>0</v>
      </c>
      <c r="P71" s="60">
        <v>0</v>
      </c>
      <c r="Q71" s="60">
        <v>0</v>
      </c>
      <c r="R71" s="60">
        <v>0</v>
      </c>
      <c r="S71" s="60">
        <v>0</v>
      </c>
    </row>
    <row r="72" spans="1:19" s="44" customFormat="1" ht="10.199999999999999" x14ac:dyDescent="0.2">
      <c r="A72" s="57" t="s">
        <v>80</v>
      </c>
      <c r="B72" s="57"/>
      <c r="C72" s="58">
        <f>SUM(G72:J72)</f>
        <v>0</v>
      </c>
      <c r="D72" s="58">
        <f>SUM(K72:S72)</f>
        <v>0</v>
      </c>
      <c r="E72" s="58">
        <f>SUM(G72:S72)</f>
        <v>0</v>
      </c>
      <c r="F72" s="58"/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0">
        <v>0</v>
      </c>
      <c r="R72" s="60">
        <v>0</v>
      </c>
      <c r="S72" s="60">
        <v>0</v>
      </c>
    </row>
    <row r="73" spans="1:19" s="44" customFormat="1" ht="10.199999999999999" x14ac:dyDescent="0.2">
      <c r="A73" s="61" t="s">
        <v>81</v>
      </c>
      <c r="B73" s="61"/>
      <c r="C73" s="62"/>
      <c r="D73" s="62"/>
      <c r="E73" s="62"/>
      <c r="F73" s="62">
        <f>S73</f>
        <v>411951</v>
      </c>
      <c r="G73" s="63">
        <f>G70+G71-G72</f>
        <v>37250</v>
      </c>
      <c r="H73" s="63">
        <f t="shared" ref="H73:S73" si="19">H70+H71-H72</f>
        <v>187833</v>
      </c>
      <c r="I73" s="63">
        <f t="shared" si="19"/>
        <v>187833</v>
      </c>
      <c r="J73" s="63">
        <f t="shared" si="19"/>
        <v>237559</v>
      </c>
      <c r="K73" s="63">
        <f t="shared" si="19"/>
        <v>275892</v>
      </c>
      <c r="L73" s="63">
        <f t="shared" si="19"/>
        <v>373618</v>
      </c>
      <c r="M73" s="63">
        <f t="shared" si="19"/>
        <v>373618</v>
      </c>
      <c r="N73" s="63">
        <f t="shared" si="19"/>
        <v>411951</v>
      </c>
      <c r="O73" s="63">
        <f t="shared" si="19"/>
        <v>411951</v>
      </c>
      <c r="P73" s="63">
        <f t="shared" si="19"/>
        <v>411951</v>
      </c>
      <c r="Q73" s="63">
        <f t="shared" si="19"/>
        <v>411951</v>
      </c>
      <c r="R73" s="63">
        <f t="shared" si="19"/>
        <v>411951</v>
      </c>
      <c r="S73" s="63">
        <f t="shared" si="19"/>
        <v>411951</v>
      </c>
    </row>
    <row r="74" spans="1:19" s="44" customFormat="1" ht="10.199999999999999" x14ac:dyDescent="0.2">
      <c r="A74" s="61" t="s">
        <v>82</v>
      </c>
      <c r="B74" s="61"/>
      <c r="C74" s="62"/>
      <c r="D74" s="62"/>
      <c r="E74" s="62"/>
      <c r="F74" s="62">
        <f>S74</f>
        <v>9588049</v>
      </c>
      <c r="G74" s="63">
        <f>$C$69-G73</f>
        <v>9962750</v>
      </c>
      <c r="H74" s="63">
        <f t="shared" ref="H74:S74" si="20">$C$69-H73</f>
        <v>9812167</v>
      </c>
      <c r="I74" s="63">
        <f t="shared" si="20"/>
        <v>9812167</v>
      </c>
      <c r="J74" s="63">
        <f t="shared" si="20"/>
        <v>9762441</v>
      </c>
      <c r="K74" s="63">
        <f t="shared" si="20"/>
        <v>9724108</v>
      </c>
      <c r="L74" s="63">
        <f t="shared" si="20"/>
        <v>9626382</v>
      </c>
      <c r="M74" s="63">
        <f t="shared" si="20"/>
        <v>9626382</v>
      </c>
      <c r="N74" s="63">
        <f t="shared" si="20"/>
        <v>9588049</v>
      </c>
      <c r="O74" s="63">
        <f t="shared" si="20"/>
        <v>9588049</v>
      </c>
      <c r="P74" s="63">
        <f t="shared" si="20"/>
        <v>9588049</v>
      </c>
      <c r="Q74" s="63">
        <f t="shared" si="20"/>
        <v>9588049</v>
      </c>
      <c r="R74" s="63">
        <f t="shared" si="20"/>
        <v>9588049</v>
      </c>
      <c r="S74" s="63">
        <f t="shared" si="20"/>
        <v>9588049</v>
      </c>
    </row>
    <row r="75" spans="1:19" s="44" customFormat="1" ht="10.199999999999999" x14ac:dyDescent="0.2">
      <c r="A75" s="57" t="s">
        <v>83</v>
      </c>
      <c r="B75" s="57"/>
      <c r="C75" s="58"/>
      <c r="D75" s="58"/>
      <c r="E75" s="58"/>
      <c r="F75" s="67">
        <f>S75</f>
        <v>0.11749999999999999</v>
      </c>
      <c r="G75" s="68">
        <v>0.115</v>
      </c>
      <c r="H75" s="68">
        <v>0.115</v>
      </c>
      <c r="I75" s="68">
        <v>0.115</v>
      </c>
      <c r="J75" s="68">
        <v>0.11749999999999999</v>
      </c>
      <c r="K75" s="68">
        <v>0.11749999999999999</v>
      </c>
      <c r="L75" s="68">
        <v>0.11749999999999999</v>
      </c>
      <c r="M75" s="68">
        <v>0.11749999999999999</v>
      </c>
      <c r="N75" s="68">
        <v>0.11749999999999999</v>
      </c>
      <c r="O75" s="68">
        <v>0.11749999999999999</v>
      </c>
      <c r="P75" s="68">
        <v>0.11749999999999999</v>
      </c>
      <c r="Q75" s="68">
        <v>0.11749999999999999</v>
      </c>
      <c r="R75" s="68">
        <v>0.11749999999999999</v>
      </c>
      <c r="S75" s="68">
        <v>0.11749999999999999</v>
      </c>
    </row>
    <row r="76" spans="1:19" s="44" customFormat="1" ht="10.199999999999999" x14ac:dyDescent="0.2">
      <c r="A76" s="57" t="s">
        <v>84</v>
      </c>
      <c r="B76" s="57"/>
      <c r="C76" s="58">
        <f>SUM(G76:J76)</f>
        <v>5139.7268750000003</v>
      </c>
      <c r="D76" s="58">
        <f>SUM(K76:S76)</f>
        <v>33366.455416666664</v>
      </c>
      <c r="E76" s="58">
        <f>SUM(G76:S76)</f>
        <v>38506.182291666664</v>
      </c>
      <c r="F76" s="58"/>
      <c r="G76" s="59">
        <f>MAX(0,(G70+G71/2-G72/2)*G75/12)</f>
        <v>178.48958333333334</v>
      </c>
      <c r="H76" s="59">
        <f t="shared" ref="H76:S76" si="21">MAX(0,(H70+H71/2-H72/2)*H75/12)</f>
        <v>1078.5227083333334</v>
      </c>
      <c r="I76" s="59">
        <f t="shared" si="21"/>
        <v>1800.0662500000001</v>
      </c>
      <c r="J76" s="59">
        <f t="shared" si="21"/>
        <v>2082.6483333333331</v>
      </c>
      <c r="K76" s="59">
        <f t="shared" si="21"/>
        <v>2513.7705208333332</v>
      </c>
      <c r="L76" s="59">
        <f t="shared" si="21"/>
        <v>3179.8927083333333</v>
      </c>
      <c r="M76" s="59">
        <f t="shared" si="21"/>
        <v>3658.3429166666665</v>
      </c>
      <c r="N76" s="59">
        <f t="shared" si="21"/>
        <v>3846.0148958333334</v>
      </c>
      <c r="O76" s="59">
        <f t="shared" si="21"/>
        <v>4033.6868749999999</v>
      </c>
      <c r="P76" s="59">
        <f t="shared" si="21"/>
        <v>4033.6868749999999</v>
      </c>
      <c r="Q76" s="59">
        <f t="shared" si="21"/>
        <v>4033.6868749999999</v>
      </c>
      <c r="R76" s="59">
        <f t="shared" si="21"/>
        <v>4033.6868749999999</v>
      </c>
      <c r="S76" s="59">
        <f t="shared" si="21"/>
        <v>4033.6868749999999</v>
      </c>
    </row>
    <row r="77" spans="1:19" s="44" customFormat="1" ht="10.199999999999999" x14ac:dyDescent="0.2">
      <c r="A77" s="57" t="s">
        <v>85</v>
      </c>
      <c r="B77" s="57"/>
      <c r="C77" s="58"/>
      <c r="D77" s="58"/>
      <c r="E77" s="58"/>
      <c r="F77" s="58"/>
      <c r="G77" s="60">
        <v>0</v>
      </c>
      <c r="H77" s="59">
        <f>G79</f>
        <v>178.48958333333334</v>
      </c>
      <c r="I77" s="59">
        <f t="shared" ref="I77:S77" si="22">H79</f>
        <v>1257.0122916666667</v>
      </c>
      <c r="J77" s="59">
        <f t="shared" si="22"/>
        <v>3057.0785416666668</v>
      </c>
      <c r="K77" s="59">
        <f t="shared" si="22"/>
        <v>5139.7268750000003</v>
      </c>
      <c r="L77" s="59">
        <f t="shared" si="22"/>
        <v>7653.4973958333339</v>
      </c>
      <c r="M77" s="59">
        <f t="shared" si="22"/>
        <v>10833.390104166667</v>
      </c>
      <c r="N77" s="59">
        <f t="shared" si="22"/>
        <v>14491.733020833333</v>
      </c>
      <c r="O77" s="59">
        <f t="shared" si="22"/>
        <v>18337.747916666667</v>
      </c>
      <c r="P77" s="59">
        <f t="shared" si="22"/>
        <v>22371.434791666667</v>
      </c>
      <c r="Q77" s="59">
        <f t="shared" si="22"/>
        <v>26405.121666666666</v>
      </c>
      <c r="R77" s="59">
        <f t="shared" si="22"/>
        <v>30438.808541666665</v>
      </c>
      <c r="S77" s="59">
        <f t="shared" si="22"/>
        <v>34472.495416666665</v>
      </c>
    </row>
    <row r="78" spans="1:19" s="44" customFormat="1" ht="10.199999999999999" x14ac:dyDescent="0.2">
      <c r="A78" s="57" t="s">
        <v>86</v>
      </c>
      <c r="B78" s="57"/>
      <c r="C78" s="58">
        <f>SUM(G78:J78)</f>
        <v>0</v>
      </c>
      <c r="D78" s="58">
        <f>SUM(K78:S78)</f>
        <v>0</v>
      </c>
      <c r="E78" s="58">
        <f>SUM(G78:S78)</f>
        <v>0</v>
      </c>
      <c r="F78" s="58"/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  <c r="R78" s="60">
        <v>0</v>
      </c>
      <c r="S78" s="60">
        <v>0</v>
      </c>
    </row>
    <row r="79" spans="1:19" s="44" customFormat="1" ht="10.199999999999999" x14ac:dyDescent="0.2">
      <c r="A79" s="61" t="s">
        <v>87</v>
      </c>
      <c r="B79" s="61"/>
      <c r="C79" s="62"/>
      <c r="D79" s="62"/>
      <c r="E79" s="62"/>
      <c r="F79" s="62">
        <f>S79</f>
        <v>38506.182291666664</v>
      </c>
      <c r="G79" s="63">
        <f>G77+G76-G78</f>
        <v>178.48958333333334</v>
      </c>
      <c r="H79" s="63">
        <f t="shared" ref="H79:S79" si="23">H77+H76-H78</f>
        <v>1257.0122916666667</v>
      </c>
      <c r="I79" s="63">
        <f t="shared" si="23"/>
        <v>3057.0785416666668</v>
      </c>
      <c r="J79" s="63">
        <f t="shared" si="23"/>
        <v>5139.7268750000003</v>
      </c>
      <c r="K79" s="63">
        <f t="shared" si="23"/>
        <v>7653.4973958333339</v>
      </c>
      <c r="L79" s="63">
        <f t="shared" si="23"/>
        <v>10833.390104166667</v>
      </c>
      <c r="M79" s="63">
        <f t="shared" si="23"/>
        <v>14491.733020833333</v>
      </c>
      <c r="N79" s="63">
        <f t="shared" si="23"/>
        <v>18337.747916666667</v>
      </c>
      <c r="O79" s="63">
        <f t="shared" si="23"/>
        <v>22371.434791666667</v>
      </c>
      <c r="P79" s="63">
        <f t="shared" si="23"/>
        <v>26405.121666666666</v>
      </c>
      <c r="Q79" s="63">
        <f t="shared" si="23"/>
        <v>30438.808541666665</v>
      </c>
      <c r="R79" s="63">
        <f t="shared" si="23"/>
        <v>34472.495416666665</v>
      </c>
      <c r="S79" s="63">
        <f t="shared" si="23"/>
        <v>38506.182291666664</v>
      </c>
    </row>
    <row r="80" spans="1:19" s="44" customFormat="1" ht="10.199999999999999" x14ac:dyDescent="0.2">
      <c r="A80" s="61" t="s">
        <v>88</v>
      </c>
      <c r="B80" s="61"/>
      <c r="C80" s="62"/>
      <c r="D80" s="62"/>
      <c r="E80" s="62"/>
      <c r="F80" s="62">
        <f>S80</f>
        <v>450457.18229166669</v>
      </c>
      <c r="G80" s="63">
        <f>G73+G79</f>
        <v>37428.489583333336</v>
      </c>
      <c r="H80" s="63">
        <f t="shared" ref="H80:S80" si="24">H73+H79</f>
        <v>189090.01229166667</v>
      </c>
      <c r="I80" s="63">
        <f t="shared" si="24"/>
        <v>190890.07854166668</v>
      </c>
      <c r="J80" s="63">
        <f t="shared" si="24"/>
        <v>242698.72687499999</v>
      </c>
      <c r="K80" s="63">
        <f t="shared" si="24"/>
        <v>283545.49739583331</v>
      </c>
      <c r="L80" s="63">
        <f t="shared" si="24"/>
        <v>384451.39010416664</v>
      </c>
      <c r="M80" s="63">
        <f t="shared" si="24"/>
        <v>388109.73302083334</v>
      </c>
      <c r="N80" s="63">
        <f t="shared" si="24"/>
        <v>430288.74791666667</v>
      </c>
      <c r="O80" s="63">
        <f t="shared" si="24"/>
        <v>434322.43479166669</v>
      </c>
      <c r="P80" s="63">
        <f t="shared" si="24"/>
        <v>438356.12166666664</v>
      </c>
      <c r="Q80" s="63">
        <f t="shared" si="24"/>
        <v>442389.80854166666</v>
      </c>
      <c r="R80" s="63">
        <f t="shared" si="24"/>
        <v>446423.49541666667</v>
      </c>
      <c r="S80" s="63">
        <f t="shared" si="24"/>
        <v>450457.18229166669</v>
      </c>
    </row>
    <row r="81" spans="1:19" s="44" customFormat="1" ht="10.199999999999999" x14ac:dyDescent="0.2">
      <c r="A81" s="57"/>
      <c r="B81" s="57"/>
      <c r="C81" s="58"/>
      <c r="D81" s="58"/>
      <c r="E81" s="58"/>
      <c r="F81" s="58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</row>
    <row r="82" spans="1:19" s="44" customFormat="1" ht="20.399999999999999" x14ac:dyDescent="0.2">
      <c r="A82" s="70" t="s">
        <v>89</v>
      </c>
      <c r="B82" s="70" t="s">
        <v>90</v>
      </c>
      <c r="C82" s="71"/>
      <c r="D82" s="71"/>
      <c r="E82" s="71"/>
      <c r="F82" s="71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</row>
    <row r="83" spans="1:19" s="44" customFormat="1" ht="10.199999999999999" x14ac:dyDescent="0.2">
      <c r="A83" s="57" t="s">
        <v>78</v>
      </c>
      <c r="B83" s="57"/>
      <c r="C83" s="58"/>
      <c r="D83" s="58"/>
      <c r="E83" s="58"/>
      <c r="F83" s="58"/>
      <c r="G83" s="60">
        <v>0</v>
      </c>
      <c r="H83" s="59">
        <f>G86</f>
        <v>0</v>
      </c>
      <c r="I83" s="59">
        <f t="shared" ref="I83:S83" si="25">H86</f>
        <v>0</v>
      </c>
      <c r="J83" s="59">
        <f t="shared" si="25"/>
        <v>0</v>
      </c>
      <c r="K83" s="59">
        <f t="shared" si="25"/>
        <v>0</v>
      </c>
      <c r="L83" s="59">
        <f t="shared" si="25"/>
        <v>0</v>
      </c>
      <c r="M83" s="59">
        <f t="shared" si="25"/>
        <v>0</v>
      </c>
      <c r="N83" s="59">
        <f t="shared" si="25"/>
        <v>0</v>
      </c>
      <c r="O83" s="59">
        <f t="shared" si="25"/>
        <v>0</v>
      </c>
      <c r="P83" s="59">
        <f t="shared" si="25"/>
        <v>0</v>
      </c>
      <c r="Q83" s="59">
        <f t="shared" si="25"/>
        <v>0</v>
      </c>
      <c r="R83" s="59">
        <f t="shared" si="25"/>
        <v>0</v>
      </c>
      <c r="S83" s="59">
        <f t="shared" si="25"/>
        <v>0</v>
      </c>
    </row>
    <row r="84" spans="1:19" s="44" customFormat="1" ht="10.199999999999999" x14ac:dyDescent="0.2">
      <c r="A84" s="57" t="s">
        <v>79</v>
      </c>
      <c r="B84" s="57"/>
      <c r="C84" s="58">
        <f>SUM(G84:J84)</f>
        <v>0</v>
      </c>
      <c r="D84" s="58">
        <f>SUM(K84:S84)</f>
        <v>0</v>
      </c>
      <c r="E84" s="58">
        <f>SUM(G84:S84)</f>
        <v>0</v>
      </c>
      <c r="F84" s="58"/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0</v>
      </c>
      <c r="R84" s="60">
        <v>0</v>
      </c>
      <c r="S84" s="60">
        <v>0</v>
      </c>
    </row>
    <row r="85" spans="1:19" s="44" customFormat="1" ht="10.199999999999999" x14ac:dyDescent="0.2">
      <c r="A85" s="57" t="s">
        <v>80</v>
      </c>
      <c r="B85" s="57"/>
      <c r="C85" s="58">
        <f>SUM(G85:J85)</f>
        <v>0</v>
      </c>
      <c r="D85" s="58">
        <f>SUM(K85:S85)</f>
        <v>0</v>
      </c>
      <c r="E85" s="58">
        <f>SUM(G85:S85)</f>
        <v>0</v>
      </c>
      <c r="F85" s="58"/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0</v>
      </c>
      <c r="M85" s="60">
        <v>0</v>
      </c>
      <c r="N85" s="60">
        <v>0</v>
      </c>
      <c r="O85" s="60">
        <v>0</v>
      </c>
      <c r="P85" s="60">
        <v>0</v>
      </c>
      <c r="Q85" s="60">
        <v>0</v>
      </c>
      <c r="R85" s="60">
        <v>0</v>
      </c>
      <c r="S85" s="60">
        <v>0</v>
      </c>
    </row>
    <row r="86" spans="1:19" s="44" customFormat="1" ht="10.199999999999999" x14ac:dyDescent="0.2">
      <c r="A86" s="61" t="s">
        <v>81</v>
      </c>
      <c r="B86" s="61"/>
      <c r="C86" s="62"/>
      <c r="D86" s="62"/>
      <c r="E86" s="62"/>
      <c r="F86" s="62">
        <f>S86</f>
        <v>0</v>
      </c>
      <c r="G86" s="63">
        <f>G83+G84-G85</f>
        <v>0</v>
      </c>
      <c r="H86" s="63">
        <f t="shared" ref="H86:S86" si="26">H83+H84-H85</f>
        <v>0</v>
      </c>
      <c r="I86" s="63">
        <f t="shared" si="26"/>
        <v>0</v>
      </c>
      <c r="J86" s="63">
        <f t="shared" si="26"/>
        <v>0</v>
      </c>
      <c r="K86" s="63">
        <f t="shared" si="26"/>
        <v>0</v>
      </c>
      <c r="L86" s="63">
        <f t="shared" si="26"/>
        <v>0</v>
      </c>
      <c r="M86" s="63">
        <f t="shared" si="26"/>
        <v>0</v>
      </c>
      <c r="N86" s="63">
        <f t="shared" si="26"/>
        <v>0</v>
      </c>
      <c r="O86" s="63">
        <f t="shared" si="26"/>
        <v>0</v>
      </c>
      <c r="P86" s="63">
        <f t="shared" si="26"/>
        <v>0</v>
      </c>
      <c r="Q86" s="63">
        <f t="shared" si="26"/>
        <v>0</v>
      </c>
      <c r="R86" s="63">
        <f t="shared" si="26"/>
        <v>0</v>
      </c>
      <c r="S86" s="63">
        <f t="shared" si="26"/>
        <v>0</v>
      </c>
    </row>
    <row r="87" spans="1:19" s="44" customFormat="1" ht="10.199999999999999" x14ac:dyDescent="0.2">
      <c r="A87" s="57" t="s">
        <v>83</v>
      </c>
      <c r="B87" s="57"/>
      <c r="C87" s="58"/>
      <c r="D87" s="58"/>
      <c r="E87" s="58"/>
      <c r="F87" s="67">
        <f>S87</f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</row>
    <row r="88" spans="1:19" s="44" customFormat="1" ht="10.199999999999999" x14ac:dyDescent="0.2">
      <c r="A88" s="57" t="s">
        <v>84</v>
      </c>
      <c r="B88" s="57"/>
      <c r="C88" s="58">
        <f>SUM(G88:J88)</f>
        <v>0</v>
      </c>
      <c r="D88" s="58">
        <f>SUM(K88:S88)</f>
        <v>0</v>
      </c>
      <c r="E88" s="58">
        <f>SUM(G88:S88)</f>
        <v>0</v>
      </c>
      <c r="F88" s="58"/>
      <c r="G88" s="59">
        <f>MAX(0,(G83+G84/2-G85/2)*G87/12)</f>
        <v>0</v>
      </c>
      <c r="H88" s="59">
        <f t="shared" ref="H88:S88" si="27">MAX(0,(H83+H84/2-H85/2)*H87/12)</f>
        <v>0</v>
      </c>
      <c r="I88" s="59">
        <f t="shared" si="27"/>
        <v>0</v>
      </c>
      <c r="J88" s="59">
        <f t="shared" si="27"/>
        <v>0</v>
      </c>
      <c r="K88" s="59">
        <f t="shared" si="27"/>
        <v>0</v>
      </c>
      <c r="L88" s="59">
        <f t="shared" si="27"/>
        <v>0</v>
      </c>
      <c r="M88" s="59">
        <f t="shared" si="27"/>
        <v>0</v>
      </c>
      <c r="N88" s="59">
        <f t="shared" si="27"/>
        <v>0</v>
      </c>
      <c r="O88" s="59">
        <f t="shared" si="27"/>
        <v>0</v>
      </c>
      <c r="P88" s="59">
        <f t="shared" si="27"/>
        <v>0</v>
      </c>
      <c r="Q88" s="59">
        <f t="shared" si="27"/>
        <v>0</v>
      </c>
      <c r="R88" s="59">
        <f t="shared" si="27"/>
        <v>0</v>
      </c>
      <c r="S88" s="59">
        <f t="shared" si="27"/>
        <v>0</v>
      </c>
    </row>
    <row r="89" spans="1:19" s="44" customFormat="1" ht="10.199999999999999" x14ac:dyDescent="0.2">
      <c r="A89" s="57" t="s">
        <v>85</v>
      </c>
      <c r="B89" s="57"/>
      <c r="C89" s="58"/>
      <c r="D89" s="58"/>
      <c r="E89" s="58"/>
      <c r="F89" s="58"/>
      <c r="G89" s="60">
        <v>0</v>
      </c>
      <c r="H89" s="59">
        <f>G91</f>
        <v>0</v>
      </c>
      <c r="I89" s="59">
        <f t="shared" ref="I89:S89" si="28">H91</f>
        <v>0</v>
      </c>
      <c r="J89" s="59">
        <f t="shared" si="28"/>
        <v>0</v>
      </c>
      <c r="K89" s="59">
        <f t="shared" si="28"/>
        <v>0</v>
      </c>
      <c r="L89" s="59">
        <f t="shared" si="28"/>
        <v>0</v>
      </c>
      <c r="M89" s="59">
        <f t="shared" si="28"/>
        <v>0</v>
      </c>
      <c r="N89" s="59">
        <f t="shared" si="28"/>
        <v>0</v>
      </c>
      <c r="O89" s="59">
        <f t="shared" si="28"/>
        <v>0</v>
      </c>
      <c r="P89" s="59">
        <f t="shared" si="28"/>
        <v>0</v>
      </c>
      <c r="Q89" s="59">
        <f t="shared" si="28"/>
        <v>0</v>
      </c>
      <c r="R89" s="59">
        <f t="shared" si="28"/>
        <v>0</v>
      </c>
      <c r="S89" s="59">
        <f t="shared" si="28"/>
        <v>0</v>
      </c>
    </row>
    <row r="90" spans="1:19" s="44" customFormat="1" ht="10.199999999999999" x14ac:dyDescent="0.2">
      <c r="A90" s="57" t="s">
        <v>86</v>
      </c>
      <c r="B90" s="57"/>
      <c r="C90" s="58">
        <f>SUM(G90:J90)</f>
        <v>0</v>
      </c>
      <c r="D90" s="58">
        <f>SUM(K90:S90)</f>
        <v>0</v>
      </c>
      <c r="E90" s="58">
        <f>SUM(G90:S90)</f>
        <v>0</v>
      </c>
      <c r="F90" s="58"/>
      <c r="G90" s="60">
        <v>0</v>
      </c>
      <c r="H90" s="60">
        <v>0</v>
      </c>
      <c r="I90" s="60">
        <v>0</v>
      </c>
      <c r="J90" s="60">
        <v>0</v>
      </c>
      <c r="K90" s="60">
        <v>0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60">
        <v>0</v>
      </c>
      <c r="R90" s="60">
        <v>0</v>
      </c>
      <c r="S90" s="60">
        <v>0</v>
      </c>
    </row>
    <row r="91" spans="1:19" s="44" customFormat="1" ht="10.199999999999999" x14ac:dyDescent="0.2">
      <c r="A91" s="61" t="s">
        <v>87</v>
      </c>
      <c r="B91" s="61"/>
      <c r="C91" s="62"/>
      <c r="D91" s="62"/>
      <c r="E91" s="62"/>
      <c r="F91" s="62">
        <f>S91</f>
        <v>0</v>
      </c>
      <c r="G91" s="63">
        <f>G89+G88-G90</f>
        <v>0</v>
      </c>
      <c r="H91" s="63">
        <f t="shared" ref="H91:S91" si="29">H89+H88-H90</f>
        <v>0</v>
      </c>
      <c r="I91" s="63">
        <f t="shared" si="29"/>
        <v>0</v>
      </c>
      <c r="J91" s="63">
        <f t="shared" si="29"/>
        <v>0</v>
      </c>
      <c r="K91" s="63">
        <f t="shared" si="29"/>
        <v>0</v>
      </c>
      <c r="L91" s="63">
        <f t="shared" si="29"/>
        <v>0</v>
      </c>
      <c r="M91" s="63">
        <f t="shared" si="29"/>
        <v>0</v>
      </c>
      <c r="N91" s="63">
        <f t="shared" si="29"/>
        <v>0</v>
      </c>
      <c r="O91" s="63">
        <f t="shared" si="29"/>
        <v>0</v>
      </c>
      <c r="P91" s="63">
        <f t="shared" si="29"/>
        <v>0</v>
      </c>
      <c r="Q91" s="63">
        <f t="shared" si="29"/>
        <v>0</v>
      </c>
      <c r="R91" s="63">
        <f t="shared" si="29"/>
        <v>0</v>
      </c>
      <c r="S91" s="63">
        <f t="shared" si="29"/>
        <v>0</v>
      </c>
    </row>
    <row r="92" spans="1:19" s="44" customFormat="1" ht="10.199999999999999" x14ac:dyDescent="0.2">
      <c r="A92" s="61" t="s">
        <v>91</v>
      </c>
      <c r="B92" s="61"/>
      <c r="C92" s="62"/>
      <c r="D92" s="62"/>
      <c r="E92" s="62"/>
      <c r="F92" s="62">
        <f>S92</f>
        <v>0</v>
      </c>
      <c r="G92" s="63">
        <f>G86+G91</f>
        <v>0</v>
      </c>
      <c r="H92" s="63">
        <f t="shared" ref="H92:S92" si="30">H86+H91</f>
        <v>0</v>
      </c>
      <c r="I92" s="63">
        <f t="shared" si="30"/>
        <v>0</v>
      </c>
      <c r="J92" s="63">
        <f t="shared" si="30"/>
        <v>0</v>
      </c>
      <c r="K92" s="63">
        <f t="shared" si="30"/>
        <v>0</v>
      </c>
      <c r="L92" s="63">
        <f t="shared" si="30"/>
        <v>0</v>
      </c>
      <c r="M92" s="63">
        <f t="shared" si="30"/>
        <v>0</v>
      </c>
      <c r="N92" s="63">
        <f t="shared" si="30"/>
        <v>0</v>
      </c>
      <c r="O92" s="63">
        <f t="shared" si="30"/>
        <v>0</v>
      </c>
      <c r="P92" s="63">
        <f t="shared" si="30"/>
        <v>0</v>
      </c>
      <c r="Q92" s="63">
        <f t="shared" si="30"/>
        <v>0</v>
      </c>
      <c r="R92" s="63">
        <f t="shared" si="30"/>
        <v>0</v>
      </c>
      <c r="S92" s="63">
        <f t="shared" si="30"/>
        <v>0</v>
      </c>
    </row>
    <row r="93" spans="1:19" s="44" customFormat="1" ht="10.199999999999999" x14ac:dyDescent="0.2">
      <c r="A93" s="57"/>
      <c r="B93" s="57"/>
      <c r="C93" s="58"/>
      <c r="D93" s="58"/>
      <c r="E93" s="58"/>
      <c r="F93" s="58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</row>
    <row r="94" spans="1:19" s="44" customFormat="1" ht="10.199999999999999" x14ac:dyDescent="0.2">
      <c r="A94" s="73" t="s">
        <v>92</v>
      </c>
      <c r="B94" s="73" t="s">
        <v>93</v>
      </c>
      <c r="C94" s="74"/>
      <c r="D94" s="74"/>
      <c r="E94" s="74"/>
      <c r="F94" s="74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</row>
    <row r="95" spans="1:19" s="44" customFormat="1" ht="10.199999999999999" x14ac:dyDescent="0.2">
      <c r="A95" s="57" t="s">
        <v>94</v>
      </c>
      <c r="B95" s="57"/>
      <c r="C95" s="58"/>
      <c r="D95" s="58"/>
      <c r="E95" s="58"/>
      <c r="F95" s="58"/>
      <c r="G95" s="60">
        <v>0</v>
      </c>
      <c r="H95" s="59">
        <f>G98</f>
        <v>0</v>
      </c>
      <c r="I95" s="59">
        <f t="shared" ref="I95:S95" si="31">H98</f>
        <v>0</v>
      </c>
      <c r="J95" s="59">
        <f t="shared" si="31"/>
        <v>0</v>
      </c>
      <c r="K95" s="59">
        <f t="shared" si="31"/>
        <v>0</v>
      </c>
      <c r="L95" s="59">
        <f t="shared" si="31"/>
        <v>0</v>
      </c>
      <c r="M95" s="59">
        <f t="shared" si="31"/>
        <v>0</v>
      </c>
      <c r="N95" s="59">
        <f t="shared" si="31"/>
        <v>0</v>
      </c>
      <c r="O95" s="59">
        <f t="shared" si="31"/>
        <v>0</v>
      </c>
      <c r="P95" s="59">
        <f t="shared" si="31"/>
        <v>0</v>
      </c>
      <c r="Q95" s="59">
        <f t="shared" si="31"/>
        <v>0</v>
      </c>
      <c r="R95" s="59">
        <f t="shared" si="31"/>
        <v>0</v>
      </c>
      <c r="S95" s="59">
        <f t="shared" si="31"/>
        <v>0</v>
      </c>
    </row>
    <row r="96" spans="1:19" s="44" customFormat="1" ht="10.199999999999999" x14ac:dyDescent="0.2">
      <c r="A96" s="57" t="s">
        <v>95</v>
      </c>
      <c r="B96" s="57"/>
      <c r="C96" s="58">
        <f>SUM(G96:J96)</f>
        <v>0</v>
      </c>
      <c r="D96" s="58">
        <f>SUM(K96:S96)</f>
        <v>0</v>
      </c>
      <c r="E96" s="58">
        <f>SUM(G96:S96)</f>
        <v>0</v>
      </c>
      <c r="F96" s="58"/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0</v>
      </c>
      <c r="R96" s="60">
        <v>0</v>
      </c>
      <c r="S96" s="60">
        <v>0</v>
      </c>
    </row>
    <row r="97" spans="1:19" s="44" customFormat="1" ht="10.199999999999999" x14ac:dyDescent="0.2">
      <c r="A97" s="57" t="s">
        <v>96</v>
      </c>
      <c r="B97" s="57"/>
      <c r="C97" s="58">
        <f>SUM(G97:J97)</f>
        <v>0</v>
      </c>
      <c r="D97" s="58">
        <f>SUM(K97:S97)</f>
        <v>0</v>
      </c>
      <c r="E97" s="58">
        <f>SUM(G97:S97)</f>
        <v>0</v>
      </c>
      <c r="F97" s="58"/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0</v>
      </c>
      <c r="R97" s="60">
        <v>0</v>
      </c>
      <c r="S97" s="60">
        <v>0</v>
      </c>
    </row>
    <row r="98" spans="1:19" s="44" customFormat="1" ht="10.199999999999999" x14ac:dyDescent="0.2">
      <c r="A98" s="61" t="s">
        <v>97</v>
      </c>
      <c r="B98" s="61"/>
      <c r="C98" s="62"/>
      <c r="D98" s="62"/>
      <c r="E98" s="62"/>
      <c r="F98" s="62">
        <f>S98</f>
        <v>0</v>
      </c>
      <c r="G98" s="63">
        <f>G95+G96-G97</f>
        <v>0</v>
      </c>
      <c r="H98" s="63">
        <f t="shared" ref="H98:S98" si="32">H95+H96-H97</f>
        <v>0</v>
      </c>
      <c r="I98" s="63">
        <f t="shared" si="32"/>
        <v>0</v>
      </c>
      <c r="J98" s="63">
        <f t="shared" si="32"/>
        <v>0</v>
      </c>
      <c r="K98" s="63">
        <f t="shared" si="32"/>
        <v>0</v>
      </c>
      <c r="L98" s="63">
        <f t="shared" si="32"/>
        <v>0</v>
      </c>
      <c r="M98" s="63">
        <f t="shared" si="32"/>
        <v>0</v>
      </c>
      <c r="N98" s="63">
        <f t="shared" si="32"/>
        <v>0</v>
      </c>
      <c r="O98" s="63">
        <f t="shared" si="32"/>
        <v>0</v>
      </c>
      <c r="P98" s="63">
        <f t="shared" si="32"/>
        <v>0</v>
      </c>
      <c r="Q98" s="63">
        <f t="shared" si="32"/>
        <v>0</v>
      </c>
      <c r="R98" s="63">
        <f t="shared" si="32"/>
        <v>0</v>
      </c>
      <c r="S98" s="63">
        <f t="shared" si="32"/>
        <v>0</v>
      </c>
    </row>
    <row r="99" spans="1:19" s="44" customFormat="1" ht="10.199999999999999" x14ac:dyDescent="0.2">
      <c r="A99" s="57"/>
      <c r="B99" s="57"/>
      <c r="C99" s="58"/>
      <c r="D99" s="58"/>
      <c r="E99" s="58"/>
      <c r="F99" s="58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</row>
    <row r="100" spans="1:19" s="44" customFormat="1" ht="20.399999999999999" x14ac:dyDescent="0.2">
      <c r="A100" s="76" t="s">
        <v>98</v>
      </c>
      <c r="B100" s="76" t="s">
        <v>99</v>
      </c>
      <c r="C100" s="77"/>
      <c r="D100" s="77"/>
      <c r="E100" s="77"/>
      <c r="F100" s="77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</row>
    <row r="101" spans="1:19" s="44" customFormat="1" ht="10.199999999999999" x14ac:dyDescent="0.2">
      <c r="A101" s="57" t="s">
        <v>100</v>
      </c>
      <c r="B101" s="57"/>
      <c r="C101" s="58"/>
      <c r="D101" s="58"/>
      <c r="E101" s="58"/>
      <c r="F101" s="58">
        <f>S101</f>
        <v>0.14999999999417923</v>
      </c>
      <c r="G101" s="60">
        <v>0</v>
      </c>
      <c r="H101" s="59">
        <f>G115</f>
        <v>0</v>
      </c>
      <c r="I101" s="59">
        <f t="shared" ref="I101:S101" si="33">H115</f>
        <v>4.9999999988358468E-2</v>
      </c>
      <c r="J101" s="59">
        <f t="shared" si="33"/>
        <v>4.9999999988358468E-2</v>
      </c>
      <c r="K101" s="59">
        <f t="shared" si="33"/>
        <v>4.9999999988358468E-2</v>
      </c>
      <c r="L101" s="59">
        <f t="shared" si="33"/>
        <v>9.9999999991268851E-2</v>
      </c>
      <c r="M101" s="59">
        <f t="shared" si="33"/>
        <v>9.9999999991268851E-2</v>
      </c>
      <c r="N101" s="59">
        <f t="shared" si="33"/>
        <v>9.9999999991268851E-2</v>
      </c>
      <c r="O101" s="59">
        <f t="shared" si="33"/>
        <v>0.14999999999417923</v>
      </c>
      <c r="P101" s="59">
        <f t="shared" si="33"/>
        <v>0.14999999999417923</v>
      </c>
      <c r="Q101" s="59">
        <f t="shared" si="33"/>
        <v>0.14999999999417923</v>
      </c>
      <c r="R101" s="59">
        <f t="shared" si="33"/>
        <v>0.14999999999417923</v>
      </c>
      <c r="S101" s="59">
        <f t="shared" si="33"/>
        <v>0.14999999999417923</v>
      </c>
    </row>
    <row r="102" spans="1:19" s="44" customFormat="1" ht="10.199999999999999" x14ac:dyDescent="0.2">
      <c r="A102" s="57" t="s">
        <v>101</v>
      </c>
      <c r="B102" s="57"/>
      <c r="C102" s="58">
        <f>SUM(G102:J102)</f>
        <v>237559</v>
      </c>
      <c r="D102" s="58">
        <f>SUM(K102:S102)</f>
        <v>174392</v>
      </c>
      <c r="E102" s="58">
        <f>SUM(G102:S102)</f>
        <v>411951</v>
      </c>
      <c r="F102" s="58"/>
      <c r="G102" s="59">
        <f>G71</f>
        <v>37250</v>
      </c>
      <c r="H102" s="59">
        <f t="shared" ref="H102:S102" si="34">H71</f>
        <v>150583</v>
      </c>
      <c r="I102" s="59">
        <f t="shared" si="34"/>
        <v>0</v>
      </c>
      <c r="J102" s="59">
        <f t="shared" si="34"/>
        <v>49726</v>
      </c>
      <c r="K102" s="59">
        <f t="shared" si="34"/>
        <v>38333</v>
      </c>
      <c r="L102" s="59">
        <f t="shared" si="34"/>
        <v>97726</v>
      </c>
      <c r="M102" s="59">
        <f t="shared" si="34"/>
        <v>0</v>
      </c>
      <c r="N102" s="59">
        <f t="shared" si="34"/>
        <v>38333</v>
      </c>
      <c r="O102" s="59">
        <f t="shared" si="34"/>
        <v>0</v>
      </c>
      <c r="P102" s="59">
        <f t="shared" si="34"/>
        <v>0</v>
      </c>
      <c r="Q102" s="59">
        <f t="shared" si="34"/>
        <v>0</v>
      </c>
      <c r="R102" s="59">
        <f t="shared" si="34"/>
        <v>0</v>
      </c>
      <c r="S102" s="59">
        <f t="shared" si="34"/>
        <v>0</v>
      </c>
    </row>
    <row r="103" spans="1:19" s="44" customFormat="1" ht="10.199999999999999" x14ac:dyDescent="0.2">
      <c r="A103" s="57" t="s">
        <v>102</v>
      </c>
      <c r="B103" s="57"/>
      <c r="C103" s="58">
        <f>SUM(G103:J103)</f>
        <v>0</v>
      </c>
      <c r="D103" s="58">
        <f>SUM(K103:S103)</f>
        <v>0</v>
      </c>
      <c r="E103" s="58">
        <f>SUM(G103:S103)</f>
        <v>0</v>
      </c>
      <c r="F103" s="58"/>
      <c r="G103" s="59">
        <f>G84</f>
        <v>0</v>
      </c>
      <c r="H103" s="59">
        <f t="shared" ref="H103:S103" si="35">H84</f>
        <v>0</v>
      </c>
      <c r="I103" s="59">
        <f t="shared" si="35"/>
        <v>0</v>
      </c>
      <c r="J103" s="59">
        <f t="shared" si="35"/>
        <v>0</v>
      </c>
      <c r="K103" s="59">
        <f t="shared" si="35"/>
        <v>0</v>
      </c>
      <c r="L103" s="59">
        <f t="shared" si="35"/>
        <v>0</v>
      </c>
      <c r="M103" s="59">
        <f t="shared" si="35"/>
        <v>0</v>
      </c>
      <c r="N103" s="59">
        <f t="shared" si="35"/>
        <v>0</v>
      </c>
      <c r="O103" s="59">
        <f t="shared" si="35"/>
        <v>0</v>
      </c>
      <c r="P103" s="59">
        <f t="shared" si="35"/>
        <v>0</v>
      </c>
      <c r="Q103" s="59">
        <f t="shared" si="35"/>
        <v>0</v>
      </c>
      <c r="R103" s="59">
        <f t="shared" si="35"/>
        <v>0</v>
      </c>
      <c r="S103" s="59">
        <f t="shared" si="35"/>
        <v>0</v>
      </c>
    </row>
    <row r="104" spans="1:19" s="44" customFormat="1" ht="10.199999999999999" x14ac:dyDescent="0.2">
      <c r="A104" s="57" t="s">
        <v>103</v>
      </c>
      <c r="B104" s="57"/>
      <c r="C104" s="58">
        <f>SUM(G104:J104)</f>
        <v>0</v>
      </c>
      <c r="D104" s="58">
        <f>SUM(K104:S104)</f>
        <v>0</v>
      </c>
      <c r="E104" s="58">
        <f>SUM(G104:S104)</f>
        <v>0</v>
      </c>
      <c r="F104" s="58"/>
      <c r="G104" s="59">
        <f>G96</f>
        <v>0</v>
      </c>
      <c r="H104" s="59">
        <f t="shared" ref="H104:S104" si="36">H96</f>
        <v>0</v>
      </c>
      <c r="I104" s="59">
        <f t="shared" si="36"/>
        <v>0</v>
      </c>
      <c r="J104" s="59">
        <f t="shared" si="36"/>
        <v>0</v>
      </c>
      <c r="K104" s="59">
        <f t="shared" si="36"/>
        <v>0</v>
      </c>
      <c r="L104" s="59">
        <f t="shared" si="36"/>
        <v>0</v>
      </c>
      <c r="M104" s="59">
        <f t="shared" si="36"/>
        <v>0</v>
      </c>
      <c r="N104" s="59">
        <f t="shared" si="36"/>
        <v>0</v>
      </c>
      <c r="O104" s="59">
        <f t="shared" si="36"/>
        <v>0</v>
      </c>
      <c r="P104" s="59">
        <f t="shared" si="36"/>
        <v>0</v>
      </c>
      <c r="Q104" s="59">
        <f t="shared" si="36"/>
        <v>0</v>
      </c>
      <c r="R104" s="59">
        <f t="shared" si="36"/>
        <v>0</v>
      </c>
      <c r="S104" s="59">
        <f t="shared" si="36"/>
        <v>0</v>
      </c>
    </row>
    <row r="105" spans="1:19" s="44" customFormat="1" ht="10.199999999999999" x14ac:dyDescent="0.2">
      <c r="A105" s="61" t="s">
        <v>104</v>
      </c>
      <c r="B105" s="61"/>
      <c r="C105" s="62">
        <f>SUM(G105:J105)</f>
        <v>237559</v>
      </c>
      <c r="D105" s="62">
        <f>SUM(K105:S105)</f>
        <v>174392</v>
      </c>
      <c r="E105" s="62">
        <f>SUM(G105:S105)</f>
        <v>411951</v>
      </c>
      <c r="F105" s="62"/>
      <c r="G105" s="63">
        <f>SUM(G102:G104)</f>
        <v>37250</v>
      </c>
      <c r="H105" s="63">
        <f t="shared" ref="H105:S105" si="37">SUM(H102:H104)</f>
        <v>150583</v>
      </c>
      <c r="I105" s="63">
        <f t="shared" si="37"/>
        <v>0</v>
      </c>
      <c r="J105" s="63">
        <f t="shared" si="37"/>
        <v>49726</v>
      </c>
      <c r="K105" s="63">
        <f t="shared" si="37"/>
        <v>38333</v>
      </c>
      <c r="L105" s="63">
        <f t="shared" si="37"/>
        <v>97726</v>
      </c>
      <c r="M105" s="63">
        <f t="shared" si="37"/>
        <v>0</v>
      </c>
      <c r="N105" s="63">
        <f t="shared" si="37"/>
        <v>38333</v>
      </c>
      <c r="O105" s="63">
        <f t="shared" si="37"/>
        <v>0</v>
      </c>
      <c r="P105" s="63">
        <f t="shared" si="37"/>
        <v>0</v>
      </c>
      <c r="Q105" s="63">
        <f t="shared" si="37"/>
        <v>0</v>
      </c>
      <c r="R105" s="63">
        <f t="shared" si="37"/>
        <v>0</v>
      </c>
      <c r="S105" s="63">
        <f t="shared" si="37"/>
        <v>0</v>
      </c>
    </row>
    <row r="106" spans="1:19" s="44" customFormat="1" ht="10.199999999999999" x14ac:dyDescent="0.2">
      <c r="A106" s="61" t="s">
        <v>105</v>
      </c>
      <c r="B106" s="61"/>
      <c r="C106" s="62"/>
      <c r="D106" s="62"/>
      <c r="E106" s="62"/>
      <c r="F106" s="62">
        <f>S106</f>
        <v>0.14999999999417923</v>
      </c>
      <c r="G106" s="63">
        <f>G101+G105</f>
        <v>37250</v>
      </c>
      <c r="H106" s="63">
        <f t="shared" ref="H106:S106" si="38">H101+H105</f>
        <v>150583</v>
      </c>
      <c r="I106" s="63">
        <f t="shared" si="38"/>
        <v>4.9999999988358468E-2</v>
      </c>
      <c r="J106" s="63">
        <f t="shared" si="38"/>
        <v>49726.049999999988</v>
      </c>
      <c r="K106" s="63">
        <f t="shared" si="38"/>
        <v>38333.049999999988</v>
      </c>
      <c r="L106" s="63">
        <f t="shared" si="38"/>
        <v>97726.099999999991</v>
      </c>
      <c r="M106" s="63">
        <f t="shared" si="38"/>
        <v>9.9999999991268851E-2</v>
      </c>
      <c r="N106" s="63">
        <f t="shared" si="38"/>
        <v>38333.099999999991</v>
      </c>
      <c r="O106" s="63">
        <f t="shared" si="38"/>
        <v>0.14999999999417923</v>
      </c>
      <c r="P106" s="63">
        <f t="shared" si="38"/>
        <v>0.14999999999417923</v>
      </c>
      <c r="Q106" s="63">
        <f t="shared" si="38"/>
        <v>0.14999999999417923</v>
      </c>
      <c r="R106" s="63">
        <f t="shared" si="38"/>
        <v>0.14999999999417923</v>
      </c>
      <c r="S106" s="63">
        <f t="shared" si="38"/>
        <v>0.14999999999417923</v>
      </c>
    </row>
    <row r="107" spans="1:19" s="44" customFormat="1" ht="10.199999999999999" x14ac:dyDescent="0.2">
      <c r="A107" s="57" t="s">
        <v>106</v>
      </c>
      <c r="B107" s="57"/>
      <c r="C107" s="58">
        <f t="shared" ref="C107:C114" si="39">SUM(G107:J107)</f>
        <v>237558.95</v>
      </c>
      <c r="D107" s="58">
        <f t="shared" ref="D107:D114" si="40">SUM(K107:S107)</f>
        <v>174391.90000000002</v>
      </c>
      <c r="E107" s="58">
        <f t="shared" ref="E107:E114" si="41">SUM(G107:S107)</f>
        <v>411950.85000000003</v>
      </c>
      <c r="F107" s="58"/>
      <c r="G107" s="59">
        <f>G66</f>
        <v>37250</v>
      </c>
      <c r="H107" s="59">
        <f t="shared" ref="H107:S108" si="42">H66</f>
        <v>150582.95000000001</v>
      </c>
      <c r="I107" s="59">
        <f t="shared" si="42"/>
        <v>0</v>
      </c>
      <c r="J107" s="59">
        <f t="shared" si="42"/>
        <v>49726</v>
      </c>
      <c r="K107" s="59">
        <f t="shared" si="42"/>
        <v>38332.949999999997</v>
      </c>
      <c r="L107" s="59">
        <f t="shared" si="42"/>
        <v>97726</v>
      </c>
      <c r="M107" s="59">
        <f t="shared" si="42"/>
        <v>0</v>
      </c>
      <c r="N107" s="59">
        <f t="shared" si="42"/>
        <v>38332.949999999997</v>
      </c>
      <c r="O107" s="59">
        <f t="shared" si="42"/>
        <v>0</v>
      </c>
      <c r="P107" s="59">
        <f t="shared" si="42"/>
        <v>0</v>
      </c>
      <c r="Q107" s="59">
        <f t="shared" si="42"/>
        <v>0</v>
      </c>
      <c r="R107" s="59">
        <f t="shared" si="42"/>
        <v>0</v>
      </c>
      <c r="S107" s="59">
        <f t="shared" si="42"/>
        <v>0</v>
      </c>
    </row>
    <row r="108" spans="1:19" s="44" customFormat="1" ht="10.199999999999999" x14ac:dyDescent="0.2">
      <c r="A108" s="57" t="s">
        <v>73</v>
      </c>
      <c r="B108" s="57"/>
      <c r="C108" s="58">
        <f t="shared" si="39"/>
        <v>0</v>
      </c>
      <c r="D108" s="58">
        <f t="shared" si="40"/>
        <v>0</v>
      </c>
      <c r="E108" s="58">
        <f t="shared" si="41"/>
        <v>0</v>
      </c>
      <c r="F108" s="58"/>
      <c r="G108" s="59">
        <f>G67</f>
        <v>0</v>
      </c>
      <c r="H108" s="59">
        <f t="shared" si="42"/>
        <v>0</v>
      </c>
      <c r="I108" s="59">
        <f t="shared" si="42"/>
        <v>0</v>
      </c>
      <c r="J108" s="59">
        <f t="shared" si="42"/>
        <v>0</v>
      </c>
      <c r="K108" s="59">
        <f t="shared" si="42"/>
        <v>0</v>
      </c>
      <c r="L108" s="59">
        <f t="shared" si="42"/>
        <v>0</v>
      </c>
      <c r="M108" s="59">
        <f t="shared" si="42"/>
        <v>0</v>
      </c>
      <c r="N108" s="59">
        <f t="shared" si="42"/>
        <v>0</v>
      </c>
      <c r="O108" s="59">
        <f t="shared" si="42"/>
        <v>0</v>
      </c>
      <c r="P108" s="59">
        <f t="shared" si="42"/>
        <v>0</v>
      </c>
      <c r="Q108" s="59">
        <f t="shared" si="42"/>
        <v>0</v>
      </c>
      <c r="R108" s="59">
        <f t="shared" si="42"/>
        <v>0</v>
      </c>
      <c r="S108" s="59">
        <f t="shared" si="42"/>
        <v>0</v>
      </c>
    </row>
    <row r="109" spans="1:19" s="44" customFormat="1" ht="10.199999999999999" x14ac:dyDescent="0.2">
      <c r="A109" s="57" t="s">
        <v>107</v>
      </c>
      <c r="B109" s="57"/>
      <c r="C109" s="58">
        <f t="shared" si="39"/>
        <v>0</v>
      </c>
      <c r="D109" s="58">
        <f t="shared" si="40"/>
        <v>0</v>
      </c>
      <c r="E109" s="58">
        <f t="shared" si="41"/>
        <v>0</v>
      </c>
      <c r="F109" s="58"/>
      <c r="G109" s="59">
        <f>G72</f>
        <v>0</v>
      </c>
      <c r="H109" s="59">
        <f t="shared" ref="H109:S109" si="43">H72</f>
        <v>0</v>
      </c>
      <c r="I109" s="59">
        <f t="shared" si="43"/>
        <v>0</v>
      </c>
      <c r="J109" s="59">
        <f t="shared" si="43"/>
        <v>0</v>
      </c>
      <c r="K109" s="59">
        <f t="shared" si="43"/>
        <v>0</v>
      </c>
      <c r="L109" s="59">
        <f t="shared" si="43"/>
        <v>0</v>
      </c>
      <c r="M109" s="59">
        <f t="shared" si="43"/>
        <v>0</v>
      </c>
      <c r="N109" s="59">
        <f t="shared" si="43"/>
        <v>0</v>
      </c>
      <c r="O109" s="59">
        <f t="shared" si="43"/>
        <v>0</v>
      </c>
      <c r="P109" s="59">
        <f t="shared" si="43"/>
        <v>0</v>
      </c>
      <c r="Q109" s="59">
        <f t="shared" si="43"/>
        <v>0</v>
      </c>
      <c r="R109" s="59">
        <f t="shared" si="43"/>
        <v>0</v>
      </c>
      <c r="S109" s="59">
        <f t="shared" si="43"/>
        <v>0</v>
      </c>
    </row>
    <row r="110" spans="1:19" s="44" customFormat="1" ht="10.199999999999999" x14ac:dyDescent="0.2">
      <c r="A110" s="57" t="s">
        <v>108</v>
      </c>
      <c r="B110" s="57"/>
      <c r="C110" s="58">
        <f t="shared" si="39"/>
        <v>0</v>
      </c>
      <c r="D110" s="58">
        <f t="shared" si="40"/>
        <v>0</v>
      </c>
      <c r="E110" s="58">
        <f t="shared" si="41"/>
        <v>0</v>
      </c>
      <c r="F110" s="58"/>
      <c r="G110" s="59">
        <f>G78</f>
        <v>0</v>
      </c>
      <c r="H110" s="59">
        <f t="shared" ref="H110:S110" si="44">H78</f>
        <v>0</v>
      </c>
      <c r="I110" s="59">
        <f t="shared" si="44"/>
        <v>0</v>
      </c>
      <c r="J110" s="59">
        <f t="shared" si="44"/>
        <v>0</v>
      </c>
      <c r="K110" s="59">
        <f t="shared" si="44"/>
        <v>0</v>
      </c>
      <c r="L110" s="59">
        <f t="shared" si="44"/>
        <v>0</v>
      </c>
      <c r="M110" s="59">
        <f t="shared" si="44"/>
        <v>0</v>
      </c>
      <c r="N110" s="59">
        <f t="shared" si="44"/>
        <v>0</v>
      </c>
      <c r="O110" s="59">
        <f t="shared" si="44"/>
        <v>0</v>
      </c>
      <c r="P110" s="59">
        <f t="shared" si="44"/>
        <v>0</v>
      </c>
      <c r="Q110" s="59">
        <f t="shared" si="44"/>
        <v>0</v>
      </c>
      <c r="R110" s="59">
        <f t="shared" si="44"/>
        <v>0</v>
      </c>
      <c r="S110" s="59">
        <f t="shared" si="44"/>
        <v>0</v>
      </c>
    </row>
    <row r="111" spans="1:19" s="44" customFormat="1" ht="10.199999999999999" x14ac:dyDescent="0.2">
      <c r="A111" s="57" t="s">
        <v>109</v>
      </c>
      <c r="B111" s="57"/>
      <c r="C111" s="58">
        <f t="shared" si="39"/>
        <v>0</v>
      </c>
      <c r="D111" s="58">
        <f t="shared" si="40"/>
        <v>0</v>
      </c>
      <c r="E111" s="58">
        <f t="shared" si="41"/>
        <v>0</v>
      </c>
      <c r="F111" s="58"/>
      <c r="G111" s="59">
        <f>G85</f>
        <v>0</v>
      </c>
      <c r="H111" s="59">
        <f t="shared" ref="H111:S111" si="45">H85</f>
        <v>0</v>
      </c>
      <c r="I111" s="59">
        <f t="shared" si="45"/>
        <v>0</v>
      </c>
      <c r="J111" s="59">
        <f t="shared" si="45"/>
        <v>0</v>
      </c>
      <c r="K111" s="59">
        <f t="shared" si="45"/>
        <v>0</v>
      </c>
      <c r="L111" s="59">
        <f t="shared" si="45"/>
        <v>0</v>
      </c>
      <c r="M111" s="59">
        <f t="shared" si="45"/>
        <v>0</v>
      </c>
      <c r="N111" s="59">
        <f t="shared" si="45"/>
        <v>0</v>
      </c>
      <c r="O111" s="59">
        <f t="shared" si="45"/>
        <v>0</v>
      </c>
      <c r="P111" s="59">
        <f t="shared" si="45"/>
        <v>0</v>
      </c>
      <c r="Q111" s="59">
        <f t="shared" si="45"/>
        <v>0</v>
      </c>
      <c r="R111" s="59">
        <f t="shared" si="45"/>
        <v>0</v>
      </c>
      <c r="S111" s="59">
        <f t="shared" si="45"/>
        <v>0</v>
      </c>
    </row>
    <row r="112" spans="1:19" s="44" customFormat="1" ht="10.199999999999999" x14ac:dyDescent="0.2">
      <c r="A112" s="57" t="s">
        <v>110</v>
      </c>
      <c r="B112" s="57"/>
      <c r="C112" s="58">
        <f t="shared" si="39"/>
        <v>0</v>
      </c>
      <c r="D112" s="58">
        <f t="shared" si="40"/>
        <v>0</v>
      </c>
      <c r="E112" s="58">
        <f t="shared" si="41"/>
        <v>0</v>
      </c>
      <c r="F112" s="58"/>
      <c r="G112" s="59">
        <f>G90</f>
        <v>0</v>
      </c>
      <c r="H112" s="59">
        <f t="shared" ref="H112:S112" si="46">H90</f>
        <v>0</v>
      </c>
      <c r="I112" s="59">
        <f t="shared" si="46"/>
        <v>0</v>
      </c>
      <c r="J112" s="59">
        <f t="shared" si="46"/>
        <v>0</v>
      </c>
      <c r="K112" s="59">
        <f t="shared" si="46"/>
        <v>0</v>
      </c>
      <c r="L112" s="59">
        <f t="shared" si="46"/>
        <v>0</v>
      </c>
      <c r="M112" s="59">
        <f t="shared" si="46"/>
        <v>0</v>
      </c>
      <c r="N112" s="59">
        <f t="shared" si="46"/>
        <v>0</v>
      </c>
      <c r="O112" s="59">
        <f t="shared" si="46"/>
        <v>0</v>
      </c>
      <c r="P112" s="59">
        <f t="shared" si="46"/>
        <v>0</v>
      </c>
      <c r="Q112" s="59">
        <f t="shared" si="46"/>
        <v>0</v>
      </c>
      <c r="R112" s="59">
        <f t="shared" si="46"/>
        <v>0</v>
      </c>
      <c r="S112" s="59">
        <f t="shared" si="46"/>
        <v>0</v>
      </c>
    </row>
    <row r="113" spans="1:19" s="44" customFormat="1" ht="10.199999999999999" x14ac:dyDescent="0.2">
      <c r="A113" s="57" t="s">
        <v>96</v>
      </c>
      <c r="B113" s="57"/>
      <c r="C113" s="58">
        <f t="shared" si="39"/>
        <v>0</v>
      </c>
      <c r="D113" s="58">
        <f t="shared" si="40"/>
        <v>0</v>
      </c>
      <c r="E113" s="58">
        <f t="shared" si="41"/>
        <v>0</v>
      </c>
      <c r="F113" s="58"/>
      <c r="G113" s="59">
        <f>G97</f>
        <v>0</v>
      </c>
      <c r="H113" s="59">
        <f t="shared" ref="H113:S113" si="47">H97</f>
        <v>0</v>
      </c>
      <c r="I113" s="59">
        <f t="shared" si="47"/>
        <v>0</v>
      </c>
      <c r="J113" s="59">
        <f t="shared" si="47"/>
        <v>0</v>
      </c>
      <c r="K113" s="59">
        <f t="shared" si="47"/>
        <v>0</v>
      </c>
      <c r="L113" s="59">
        <f t="shared" si="47"/>
        <v>0</v>
      </c>
      <c r="M113" s="59">
        <f t="shared" si="47"/>
        <v>0</v>
      </c>
      <c r="N113" s="59">
        <f t="shared" si="47"/>
        <v>0</v>
      </c>
      <c r="O113" s="59">
        <f t="shared" si="47"/>
        <v>0</v>
      </c>
      <c r="P113" s="59">
        <f t="shared" si="47"/>
        <v>0</v>
      </c>
      <c r="Q113" s="59">
        <f t="shared" si="47"/>
        <v>0</v>
      </c>
      <c r="R113" s="59">
        <f t="shared" si="47"/>
        <v>0</v>
      </c>
      <c r="S113" s="59">
        <f t="shared" si="47"/>
        <v>0</v>
      </c>
    </row>
    <row r="114" spans="1:19" s="44" customFormat="1" ht="10.199999999999999" x14ac:dyDescent="0.2">
      <c r="A114" s="61" t="s">
        <v>111</v>
      </c>
      <c r="B114" s="61"/>
      <c r="C114" s="62">
        <f t="shared" si="39"/>
        <v>237558.95</v>
      </c>
      <c r="D114" s="62">
        <f t="shared" si="40"/>
        <v>174391.90000000002</v>
      </c>
      <c r="E114" s="62">
        <f t="shared" si="41"/>
        <v>411950.85000000003</v>
      </c>
      <c r="F114" s="62"/>
      <c r="G114" s="63">
        <f>SUM(G107:G113)</f>
        <v>37250</v>
      </c>
      <c r="H114" s="63">
        <f t="shared" ref="H114:S114" si="48">SUM(H107:H113)</f>
        <v>150582.95000000001</v>
      </c>
      <c r="I114" s="63">
        <f t="shared" si="48"/>
        <v>0</v>
      </c>
      <c r="J114" s="63">
        <f t="shared" si="48"/>
        <v>49726</v>
      </c>
      <c r="K114" s="63">
        <f t="shared" si="48"/>
        <v>38332.949999999997</v>
      </c>
      <c r="L114" s="63">
        <f t="shared" si="48"/>
        <v>97726</v>
      </c>
      <c r="M114" s="63">
        <f t="shared" si="48"/>
        <v>0</v>
      </c>
      <c r="N114" s="63">
        <f t="shared" si="48"/>
        <v>38332.949999999997</v>
      </c>
      <c r="O114" s="63">
        <f t="shared" si="48"/>
        <v>0</v>
      </c>
      <c r="P114" s="63">
        <f t="shared" si="48"/>
        <v>0</v>
      </c>
      <c r="Q114" s="63">
        <f t="shared" si="48"/>
        <v>0</v>
      </c>
      <c r="R114" s="63">
        <f t="shared" si="48"/>
        <v>0</v>
      </c>
      <c r="S114" s="63">
        <f t="shared" si="48"/>
        <v>0</v>
      </c>
    </row>
    <row r="115" spans="1:19" s="44" customFormat="1" ht="10.199999999999999" x14ac:dyDescent="0.2">
      <c r="A115" s="61" t="s">
        <v>112</v>
      </c>
      <c r="B115" s="61"/>
      <c r="C115" s="62"/>
      <c r="D115" s="62"/>
      <c r="E115" s="62"/>
      <c r="F115" s="62">
        <f>S115</f>
        <v>0.14999999999417923</v>
      </c>
      <c r="G115" s="63">
        <f>G106-G114</f>
        <v>0</v>
      </c>
      <c r="H115" s="63">
        <f t="shared" ref="H115:S115" si="49">H106-H114</f>
        <v>4.9999999988358468E-2</v>
      </c>
      <c r="I115" s="63">
        <f t="shared" si="49"/>
        <v>4.9999999988358468E-2</v>
      </c>
      <c r="J115" s="63">
        <f t="shared" si="49"/>
        <v>4.9999999988358468E-2</v>
      </c>
      <c r="K115" s="63">
        <f t="shared" si="49"/>
        <v>9.9999999991268851E-2</v>
      </c>
      <c r="L115" s="63">
        <f t="shared" si="49"/>
        <v>9.9999999991268851E-2</v>
      </c>
      <c r="M115" s="63">
        <f t="shared" si="49"/>
        <v>9.9999999991268851E-2</v>
      </c>
      <c r="N115" s="63">
        <f t="shared" si="49"/>
        <v>0.14999999999417923</v>
      </c>
      <c r="O115" s="63">
        <f t="shared" si="49"/>
        <v>0.14999999999417923</v>
      </c>
      <c r="P115" s="63">
        <f t="shared" si="49"/>
        <v>0.14999999999417923</v>
      </c>
      <c r="Q115" s="63">
        <f t="shared" si="49"/>
        <v>0.14999999999417923</v>
      </c>
      <c r="R115" s="63">
        <f t="shared" si="49"/>
        <v>0.14999999999417923</v>
      </c>
      <c r="S115" s="63">
        <f t="shared" si="49"/>
        <v>0.14999999999417923</v>
      </c>
    </row>
    <row r="116" spans="1:19" s="44" customFormat="1" ht="20.399999999999999" x14ac:dyDescent="0.2">
      <c r="A116" s="79" t="s">
        <v>113</v>
      </c>
      <c r="B116" s="79" t="s">
        <v>114</v>
      </c>
      <c r="C116" s="80"/>
      <c r="D116" s="80"/>
      <c r="E116" s="80"/>
      <c r="F116" s="80">
        <f>S116</f>
        <v>0.14999999999417923</v>
      </c>
      <c r="G116" s="81">
        <f>G115</f>
        <v>0</v>
      </c>
      <c r="H116" s="81">
        <f t="shared" ref="H116:S116" si="50">H115</f>
        <v>4.9999999988358468E-2</v>
      </c>
      <c r="I116" s="81">
        <f t="shared" si="50"/>
        <v>4.9999999988358468E-2</v>
      </c>
      <c r="J116" s="81">
        <f t="shared" si="50"/>
        <v>4.9999999988358468E-2</v>
      </c>
      <c r="K116" s="81">
        <f t="shared" si="50"/>
        <v>9.9999999991268851E-2</v>
      </c>
      <c r="L116" s="81">
        <f t="shared" si="50"/>
        <v>9.9999999991268851E-2</v>
      </c>
      <c r="M116" s="81">
        <f t="shared" si="50"/>
        <v>9.9999999991268851E-2</v>
      </c>
      <c r="N116" s="81">
        <f t="shared" si="50"/>
        <v>0.14999999999417923</v>
      </c>
      <c r="O116" s="81">
        <f t="shared" si="50"/>
        <v>0.14999999999417923</v>
      </c>
      <c r="P116" s="81">
        <f t="shared" si="50"/>
        <v>0.14999999999417923</v>
      </c>
      <c r="Q116" s="81">
        <f t="shared" si="50"/>
        <v>0.14999999999417923</v>
      </c>
      <c r="R116" s="81">
        <f t="shared" si="50"/>
        <v>0.14999999999417923</v>
      </c>
      <c r="S116" s="81">
        <f t="shared" si="50"/>
        <v>0.14999999999417923</v>
      </c>
    </row>
  </sheetData>
  <mergeCells count="1">
    <mergeCell ref="A63:S63"/>
  </mergeCells>
  <conditionalFormatting sqref="G74:S74">
    <cfRule type="cellIs" dxfId="1" priority="1" operator="lessThan">
      <formula>0</formula>
    </cfRule>
  </conditionalFormatting>
  <conditionalFormatting sqref="G116:S116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Kotze</dc:creator>
  <cp:lastModifiedBy>Nico Kotze</cp:lastModifiedBy>
  <dcterms:created xsi:type="dcterms:W3CDTF">2026-10-21T08:00:23Z</dcterms:created>
  <dcterms:modified xsi:type="dcterms:W3CDTF">2026-10-21T08:01:24Z</dcterms:modified>
</cp:coreProperties>
</file>